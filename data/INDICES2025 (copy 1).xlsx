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OPERATIVA 18 DE NOVIEMBRE\SESIONES CONSEJO 26\SAMBLEA GENERAL\"/>
    </mc:Choice>
  </mc:AlternateContent>
  <xr:revisionPtr revIDLastSave="0" documentId="13_ncr:1_{0B2FECB3-4D04-4C0B-977B-557D7C56037E}" xr6:coauthVersionLast="37" xr6:coauthVersionMax="47" xr10:uidLastSave="{00000000-0000-0000-0000-000000000000}"/>
  <bookViews>
    <workbookView xWindow="0" yWindow="0" windowWidth="23040" windowHeight="8424" activeTab="1" xr2:uid="{00000000-000D-0000-FFFF-FFFF00000000}"/>
  </bookViews>
  <sheets>
    <sheet name="INSOLV" sheetId="40" r:id="rId1"/>
    <sheet name="INDLIQUIDEZ" sheetId="39" r:id="rId2"/>
    <sheet name="INDICESENERO" sheetId="49" r:id="rId3"/>
    <sheet name="INDICESFEBRERO" sheetId="50" r:id="rId4"/>
    <sheet name="INDICESMARZ25" sheetId="51" r:id="rId5"/>
    <sheet name="INDICESAB2025" sheetId="52" r:id="rId6"/>
    <sheet name="INDICESmayo25" sheetId="53" r:id="rId7"/>
    <sheet name="INDICEJUN25 " sheetId="54" r:id="rId8"/>
    <sheet name="INDICEJULIOl25  " sheetId="55" r:id="rId9"/>
    <sheet name="INDICEAGOS25" sheetId="56" r:id="rId10"/>
    <sheet name="INDICESEPT25" sheetId="57" r:id="rId11"/>
    <sheet name="INDICEOC25" sheetId="58" r:id="rId12"/>
    <sheet name="INDICENOV25" sheetId="59" r:id="rId13"/>
    <sheet name="INDICEDICIEM25" sheetId="60" r:id="rId14"/>
  </sheets>
  <definedNames>
    <definedName name="_xlnm.Print_Area" localSheetId="9">INDICEAGOS25!$A$1:$F$121</definedName>
    <definedName name="_xlnm.Print_Area" localSheetId="13">INDICEDICIEM25!$A$1:$F$121</definedName>
    <definedName name="_xlnm.Print_Area" localSheetId="8">'INDICEJULIOl25  '!$A$1:$F$121</definedName>
    <definedName name="_xlnm.Print_Area" localSheetId="7">'INDICEJUN25 '!$A$1:$F$121</definedName>
    <definedName name="_xlnm.Print_Area" localSheetId="12">INDICENOV25!$A$1:$F$121</definedName>
    <definedName name="_xlnm.Print_Area" localSheetId="11">INDICEOC25!$A$1:$F$121</definedName>
    <definedName name="_xlnm.Print_Area" localSheetId="5">INDICESAB2025!$A$1:$F$121</definedName>
    <definedName name="_xlnm.Print_Area" localSheetId="2">INDICESENERO!$A$1:$F$121</definedName>
    <definedName name="_xlnm.Print_Area" localSheetId="10">INDICESEPT25!$A$1:$F$121</definedName>
    <definedName name="_xlnm.Print_Area" localSheetId="3">INDICESFEBRERO!$A$1:$F$121</definedName>
    <definedName name="_xlnm.Print_Area" localSheetId="4">INDICESMARZ25!$A$1:$F$121</definedName>
    <definedName name="_xlnm.Print_Area" localSheetId="6">INDICESmayo25!$A$1:$F$121</definedName>
    <definedName name="_xlnm.Print_Area" localSheetId="1">INDLIQUIDEZ!$A$1:$R$39</definedName>
    <definedName name="_xlnm.Print_Area" localSheetId="0">INSOLV!#REF!</definedName>
  </definedNames>
  <calcPr calcId="179021"/>
</workbook>
</file>

<file path=xl/calcChain.xml><?xml version="1.0" encoding="utf-8"?>
<calcChain xmlns="http://schemas.openxmlformats.org/spreadsheetml/2006/main">
  <c r="D104" i="60" l="1"/>
  <c r="D114" i="60" s="1"/>
  <c r="D88" i="60"/>
  <c r="D113" i="60" s="1"/>
  <c r="D65" i="60"/>
  <c r="D73" i="60" s="1"/>
  <c r="D50" i="60"/>
  <c r="D55" i="60" s="1"/>
  <c r="D42" i="60"/>
  <c r="D54" i="60" s="1"/>
  <c r="D18" i="60"/>
  <c r="D28" i="60" s="1"/>
  <c r="D11" i="60"/>
  <c r="F28" i="60" s="1"/>
  <c r="D116" i="60" l="1"/>
  <c r="D57" i="60"/>
  <c r="D72" i="60" s="1"/>
  <c r="D75" i="60" s="1"/>
  <c r="D27" i="60"/>
  <c r="D29" i="60" s="1"/>
  <c r="F27" i="60"/>
  <c r="F29" i="60" s="1"/>
  <c r="D104" i="59"/>
  <c r="D114" i="59" s="1"/>
  <c r="D88" i="59"/>
  <c r="D113" i="59" s="1"/>
  <c r="D65" i="59"/>
  <c r="D73" i="59" s="1"/>
  <c r="D50" i="59"/>
  <c r="D55" i="59" s="1"/>
  <c r="D42" i="59"/>
  <c r="D54" i="59" s="1"/>
  <c r="D18" i="59"/>
  <c r="D28" i="59" s="1"/>
  <c r="D11" i="59"/>
  <c r="F28" i="59" s="1"/>
  <c r="D116" i="59" l="1"/>
  <c r="D57" i="59"/>
  <c r="D72" i="59" s="1"/>
  <c r="D75" i="59" s="1"/>
  <c r="D27" i="59"/>
  <c r="D29" i="59" s="1"/>
  <c r="F27" i="59"/>
  <c r="F29" i="59" s="1"/>
  <c r="D104" i="58"/>
  <c r="D114" i="58" s="1"/>
  <c r="D88" i="58"/>
  <c r="D113" i="58" s="1"/>
  <c r="D65" i="58"/>
  <c r="D73" i="58" s="1"/>
  <c r="D50" i="58"/>
  <c r="D55" i="58" s="1"/>
  <c r="D42" i="58"/>
  <c r="D54" i="58" s="1"/>
  <c r="D18" i="58"/>
  <c r="F27" i="58" s="1"/>
  <c r="D11" i="58"/>
  <c r="D27" i="58" s="1"/>
  <c r="D104" i="57"/>
  <c r="D114" i="57" s="1"/>
  <c r="D88" i="57"/>
  <c r="D113" i="57" s="1"/>
  <c r="D65" i="57"/>
  <c r="D73" i="57" s="1"/>
  <c r="D50" i="57"/>
  <c r="D55" i="57" s="1"/>
  <c r="D42" i="57"/>
  <c r="D54" i="57" s="1"/>
  <c r="D18" i="57"/>
  <c r="D28" i="57" s="1"/>
  <c r="D11" i="57"/>
  <c r="F28" i="57" s="1"/>
  <c r="D116" i="58" l="1"/>
  <c r="D57" i="58"/>
  <c r="D72" i="58" s="1"/>
  <c r="D75" i="58" s="1"/>
  <c r="F28" i="58"/>
  <c r="F29" i="58" s="1"/>
  <c r="D28" i="58"/>
  <c r="D29" i="58" s="1"/>
  <c r="D116" i="57"/>
  <c r="D57" i="57"/>
  <c r="D72" i="57" s="1"/>
  <c r="D75" i="57" s="1"/>
  <c r="D27" i="57"/>
  <c r="D29" i="57" s="1"/>
  <c r="F27" i="57"/>
  <c r="F29" i="57" s="1"/>
  <c r="D104" i="56"/>
  <c r="D114" i="56" s="1"/>
  <c r="D88" i="56"/>
  <c r="D113" i="56" s="1"/>
  <c r="D65" i="56"/>
  <c r="D73" i="56" s="1"/>
  <c r="D50" i="56"/>
  <c r="D55" i="56" s="1"/>
  <c r="D42" i="56"/>
  <c r="D54" i="56" s="1"/>
  <c r="D18" i="56"/>
  <c r="D28" i="56" s="1"/>
  <c r="D11" i="56"/>
  <c r="F28" i="56" s="1"/>
  <c r="D116" i="56" l="1"/>
  <c r="D57" i="56"/>
  <c r="D72" i="56" s="1"/>
  <c r="D75" i="56" s="1"/>
  <c r="D27" i="56"/>
  <c r="D29" i="56" s="1"/>
  <c r="F27" i="56"/>
  <c r="F29" i="56" s="1"/>
  <c r="D104" i="55"/>
  <c r="D114" i="55" s="1"/>
  <c r="D88" i="55"/>
  <c r="D113" i="55" s="1"/>
  <c r="D65" i="55"/>
  <c r="D73" i="55" s="1"/>
  <c r="D50" i="55"/>
  <c r="D55" i="55" s="1"/>
  <c r="D42" i="55"/>
  <c r="D54" i="55" s="1"/>
  <c r="D18" i="55"/>
  <c r="D28" i="55" s="1"/>
  <c r="D11" i="55"/>
  <c r="F28" i="55" s="1"/>
  <c r="D116" i="55" l="1"/>
  <c r="D57" i="55"/>
  <c r="D72" i="55" s="1"/>
  <c r="D75" i="55" s="1"/>
  <c r="F27" i="55"/>
  <c r="F29" i="55" s="1"/>
  <c r="D27" i="55"/>
  <c r="D29" i="55" s="1"/>
  <c r="D104" i="54"/>
  <c r="D114" i="54" s="1"/>
  <c r="D88" i="54"/>
  <c r="D113" i="54" s="1"/>
  <c r="D65" i="54"/>
  <c r="D73" i="54" s="1"/>
  <c r="D50" i="54"/>
  <c r="D55" i="54" s="1"/>
  <c r="D42" i="54"/>
  <c r="D54" i="54" s="1"/>
  <c r="D18" i="54"/>
  <c r="F27" i="54" s="1"/>
  <c r="D11" i="54"/>
  <c r="D27" i="54" s="1"/>
  <c r="D116" i="54" l="1"/>
  <c r="D57" i="54"/>
  <c r="D72" i="54" s="1"/>
  <c r="D28" i="54"/>
  <c r="D29" i="54"/>
  <c r="F28" i="54"/>
  <c r="F29" i="54"/>
  <c r="D75" i="54"/>
  <c r="D104" i="53"/>
  <c r="D114" i="53" s="1"/>
  <c r="D88" i="53"/>
  <c r="D113" i="53" s="1"/>
  <c r="D65" i="53"/>
  <c r="D73" i="53" s="1"/>
  <c r="D50" i="53"/>
  <c r="D55" i="53" s="1"/>
  <c r="D42" i="53"/>
  <c r="D54" i="53" s="1"/>
  <c r="D18" i="53"/>
  <c r="D28" i="53" s="1"/>
  <c r="D11" i="53"/>
  <c r="D27" i="53" s="1"/>
  <c r="D104" i="52"/>
  <c r="D114" i="52" s="1"/>
  <c r="D88" i="52"/>
  <c r="D113" i="52" s="1"/>
  <c r="D65" i="52"/>
  <c r="D73" i="52" s="1"/>
  <c r="D50" i="52"/>
  <c r="D55" i="52" s="1"/>
  <c r="D42" i="52"/>
  <c r="D54" i="52" s="1"/>
  <c r="D18" i="52"/>
  <c r="D28" i="52" s="1"/>
  <c r="D11" i="52"/>
  <c r="D27" i="52" s="1"/>
  <c r="D116" i="53" l="1"/>
  <c r="D57" i="53"/>
  <c r="D72" i="53" s="1"/>
  <c r="D29" i="53"/>
  <c r="D75" i="53"/>
  <c r="F27" i="53"/>
  <c r="F28" i="53"/>
  <c r="D116" i="52"/>
  <c r="F28" i="52"/>
  <c r="D29" i="52"/>
  <c r="D57" i="52"/>
  <c r="D72" i="52" s="1"/>
  <c r="D75" i="52" s="1"/>
  <c r="F27" i="52"/>
  <c r="F29" i="52" s="1"/>
  <c r="D104" i="51"/>
  <c r="D114" i="51" s="1"/>
  <c r="D88" i="51"/>
  <c r="D113" i="51" s="1"/>
  <c r="D65" i="51"/>
  <c r="D73" i="51" s="1"/>
  <c r="D50" i="51"/>
  <c r="D55" i="51" s="1"/>
  <c r="D42" i="51"/>
  <c r="D54" i="51" s="1"/>
  <c r="D18" i="51"/>
  <c r="F27" i="51" s="1"/>
  <c r="D11" i="51"/>
  <c r="D27" i="51" s="1"/>
  <c r="D73" i="50"/>
  <c r="D72" i="50"/>
  <c r="F29" i="53" l="1"/>
  <c r="D116" i="51"/>
  <c r="D57" i="51"/>
  <c r="D72" i="51" s="1"/>
  <c r="D75" i="51" s="1"/>
  <c r="D28" i="51"/>
  <c r="D29" i="51" s="1"/>
  <c r="F28" i="51"/>
  <c r="F29" i="51" s="1"/>
  <c r="D104" i="50"/>
  <c r="D114" i="50" s="1"/>
  <c r="D88" i="50"/>
  <c r="D113" i="50" s="1"/>
  <c r="D65" i="50"/>
  <c r="D50" i="50"/>
  <c r="D55" i="50" s="1"/>
  <c r="D42" i="50"/>
  <c r="D54" i="50" s="1"/>
  <c r="D18" i="50"/>
  <c r="D28" i="50" s="1"/>
  <c r="D11" i="50"/>
  <c r="F28" i="50" s="1"/>
  <c r="D116" i="50" l="1"/>
  <c r="D27" i="50"/>
  <c r="D29" i="50" s="1"/>
  <c r="D57" i="50"/>
  <c r="D75" i="50" s="1"/>
  <c r="F27" i="50"/>
  <c r="F29" i="50" s="1"/>
  <c r="D104" i="49" l="1"/>
  <c r="D114" i="49" s="1"/>
  <c r="D88" i="49"/>
  <c r="D113" i="49" s="1"/>
  <c r="D65" i="49"/>
  <c r="D73" i="49" s="1"/>
  <c r="D50" i="49"/>
  <c r="D42" i="49"/>
  <c r="D54" i="49" s="1"/>
  <c r="D18" i="49"/>
  <c r="D11" i="49"/>
  <c r="F28" i="49" s="1"/>
  <c r="D55" i="49" l="1"/>
  <c r="D57" i="49" s="1"/>
  <c r="D28" i="49"/>
  <c r="F27" i="49"/>
  <c r="F29" i="49" s="1"/>
  <c r="D116" i="49"/>
  <c r="D27" i="49"/>
  <c r="D72" i="49" l="1"/>
  <c r="D75" i="49" s="1"/>
  <c r="D29" i="49"/>
  <c r="U26" i="39"/>
  <c r="U15" i="39"/>
  <c r="T15" i="39"/>
  <c r="U14" i="39"/>
  <c r="U8" i="39"/>
</calcChain>
</file>

<file path=xl/sharedStrings.xml><?xml version="1.0" encoding="utf-8"?>
<sst xmlns="http://schemas.openxmlformats.org/spreadsheetml/2006/main" count="2322" uniqueCount="235">
  <si>
    <t>CODIGO</t>
  </si>
  <si>
    <t>CUENTA</t>
  </si>
  <si>
    <t>FONDOS DISPONIBLES</t>
  </si>
  <si>
    <t>OPERACIONES INTERFINANCIERAS</t>
  </si>
  <si>
    <t>INVERSIONES</t>
  </si>
  <si>
    <t>De disponibilidad restringida</t>
  </si>
  <si>
    <t>CARTERA DE CRÉDITOS</t>
  </si>
  <si>
    <t>Cartera de crédito inmobiliario por vencer</t>
  </si>
  <si>
    <t>(Provisión genérica por tecnología crediticia)</t>
  </si>
  <si>
    <t>(Provision genérica voluntaria)</t>
  </si>
  <si>
    <t>CUENTAS POR COBRAR</t>
  </si>
  <si>
    <t>PROPIEDADES Y EQUIPO</t>
  </si>
  <si>
    <t>OTROS ACTIVOS</t>
  </si>
  <si>
    <t>Fondos de liquidez</t>
  </si>
  <si>
    <t>Impuesto al valor agregado – IVA</t>
  </si>
  <si>
    <t>CAPITAL SOCIAL</t>
  </si>
  <si>
    <t>Generales</t>
  </si>
  <si>
    <t>Especiales</t>
  </si>
  <si>
    <t>Revalorización del patrimonio</t>
  </si>
  <si>
    <t>Fondo Irrepartible de Reserva Legal</t>
  </si>
  <si>
    <t>Por resultados no operativos</t>
  </si>
  <si>
    <t>OTROS APORTES PATRIMONIALES</t>
  </si>
  <si>
    <t>SUPERÁVIT POR VALUACIONES</t>
  </si>
  <si>
    <t>Utilidades o excedentes acumuladas</t>
  </si>
  <si>
    <t>(Pérdidas acumuladas)</t>
  </si>
  <si>
    <t>GASTOS</t>
  </si>
  <si>
    <t>PROVISIONES</t>
  </si>
  <si>
    <t>INGRESOS</t>
  </si>
  <si>
    <t>COMISIONES GANADAS</t>
  </si>
  <si>
    <t>UTILIDADES FINANCIERAS</t>
  </si>
  <si>
    <t>INGRESOS POR SERVICIOS</t>
  </si>
  <si>
    <t>ACREEDORAS</t>
  </si>
  <si>
    <t>Créditos aprobados no desembolsados</t>
  </si>
  <si>
    <t>Riesgo asumido por cartera vendida</t>
  </si>
  <si>
    <t>DEPOSITOS A PLAZO</t>
  </si>
  <si>
    <t>PATRIMONIO TÉCNICO CONSTITUIDO</t>
  </si>
  <si>
    <t>RUC:</t>
  </si>
  <si>
    <t>1791285700001</t>
  </si>
  <si>
    <t>DEPOSITOS A LA VISTA</t>
  </si>
  <si>
    <t>FECH</t>
  </si>
  <si>
    <t>NPL01</t>
  </si>
  <si>
    <t>NPL02</t>
  </si>
  <si>
    <t>NPL03</t>
  </si>
  <si>
    <t>NPL04</t>
  </si>
  <si>
    <t>NPL05</t>
  </si>
  <si>
    <t>NPLT</t>
  </si>
  <si>
    <t>DPL01</t>
  </si>
  <si>
    <t>DPL02</t>
  </si>
  <si>
    <t>DPL03</t>
  </si>
  <si>
    <t>DPL04</t>
  </si>
  <si>
    <t>DPLT</t>
  </si>
  <si>
    <t>LPL</t>
  </si>
  <si>
    <t>VOLGEN</t>
  </si>
  <si>
    <t>COLPL</t>
  </si>
  <si>
    <t>NSL01</t>
  </si>
  <si>
    <t>NSL02</t>
  </si>
  <si>
    <t>NSL03</t>
  </si>
  <si>
    <t>NSLT</t>
  </si>
  <si>
    <t>DSL01</t>
  </si>
  <si>
    <t>DSL02</t>
  </si>
  <si>
    <t>DSL03</t>
  </si>
  <si>
    <t>DSLT</t>
  </si>
  <si>
    <t>LSL</t>
  </si>
  <si>
    <t>VOLSL</t>
  </si>
  <si>
    <t>VOLABS</t>
  </si>
  <si>
    <t>CONC</t>
  </si>
  <si>
    <t>MAYREQ</t>
  </si>
  <si>
    <t>IML</t>
  </si>
  <si>
    <t>CUENTA CONTABLE</t>
  </si>
  <si>
    <t>DESC CUENTA</t>
  </si>
  <si>
    <t>SUMATORIA</t>
  </si>
  <si>
    <t>210305/210310</t>
  </si>
  <si>
    <t>DE 1 A 90 DIAS</t>
  </si>
  <si>
    <t>DIV  NPLT/DPLT</t>
  </si>
  <si>
    <t>.=NPLT</t>
  </si>
  <si>
    <t>210315/210320</t>
  </si>
  <si>
    <t>DE 91 A180 DIAS</t>
  </si>
  <si>
    <t>SUM  DPLT+DSL01</t>
  </si>
  <si>
    <t>ENERO</t>
  </si>
  <si>
    <t>FEBRERO</t>
  </si>
  <si>
    <t>A</t>
  </si>
  <si>
    <t>B</t>
  </si>
  <si>
    <t>C</t>
  </si>
  <si>
    <t>D</t>
  </si>
  <si>
    <t>VERIFICACION</t>
  </si>
  <si>
    <r>
      <rPr>
        <b/>
        <sz val="9"/>
        <rFont val="Arial"/>
        <family val="2"/>
      </rPr>
      <t>Formulario:</t>
    </r>
    <r>
      <rPr>
        <sz val="9"/>
        <rFont val="Arial"/>
        <family val="2"/>
      </rPr>
      <t xml:space="preserve"> FS01</t>
    </r>
  </si>
  <si>
    <t/>
  </si>
  <si>
    <t>Razón Social:</t>
  </si>
  <si>
    <t>COOPERATIVA DE AHORRO Y CREDITO 18 DE NOVIEMBRE</t>
  </si>
  <si>
    <t>Segmento:</t>
  </si>
  <si>
    <t>SEGMENTO 4</t>
  </si>
  <si>
    <t>Fecha de corte:</t>
  </si>
  <si>
    <t>Fecha de creación:</t>
  </si>
  <si>
    <t>Fecha de envío:</t>
  </si>
  <si>
    <t>Usuario:</t>
  </si>
  <si>
    <t>FORMULARIO DE SOLVENCIA</t>
  </si>
  <si>
    <t>PATRIMONIO TÉCNICO PRIMARIO</t>
  </si>
  <si>
    <t>Ponderación %</t>
  </si>
  <si>
    <t>Forma de agregación</t>
  </si>
  <si>
    <t>Código cuenta</t>
  </si>
  <si>
    <t>Descripción</t>
  </si>
  <si>
    <t>Saldo balance</t>
  </si>
  <si>
    <t>Valor a ponderar</t>
  </si>
  <si>
    <t>Valor ponderado</t>
  </si>
  <si>
    <t>Suma</t>
  </si>
  <si>
    <t>Resta</t>
  </si>
  <si>
    <t>Total Patrimonio Técnico Primario</t>
  </si>
  <si>
    <t>PATRIMONIO TÉCNICO SECUNDARIO</t>
  </si>
  <si>
    <t>Provisiones por Intereses por cobrar de la cartera de crédito</t>
  </si>
  <si>
    <t>Deficiencia de provisiones en Inversiones</t>
  </si>
  <si>
    <t>Deficiencia de provisiones en Cartera de Crédito</t>
  </si>
  <si>
    <t>Deficiencia de provisiones en Cuentas por Cobrar</t>
  </si>
  <si>
    <t>Deficiencia de provisiones en Bienes realizables y adjudicados por pago</t>
  </si>
  <si>
    <t>Deficiencia de provisiones en Otros Activos</t>
  </si>
  <si>
    <t>Total Patrimonio Técnico Secundario</t>
  </si>
  <si>
    <t>Total Patrimonio Técnico Constituido</t>
  </si>
  <si>
    <t>ACTIVOS Y CONTINGENTES PONDERADOS POR RIESGO</t>
  </si>
  <si>
    <t>Activos y Contingentes con Ponderaciones Generales</t>
  </si>
  <si>
    <t>A valor razonable con cambios en el estado de resultados del Estado
o de entidades del sector público</t>
  </si>
  <si>
    <t>Disponibles para la venta del Estado o de entidades del sector
público</t>
  </si>
  <si>
    <t>Mantenidas hasta su vencimiento del Estado o de entidades del
sector público</t>
  </si>
  <si>
    <t>Cartera de crédito de consumo</t>
  </si>
  <si>
    <t>Cartera comprada a entidades en liquidación o adquirida por
procesos de fusión</t>
  </si>
  <si>
    <t>A valor razonable con cambios en el estado de resultados de
entidades del sector privado y sector financiero popular y solidario</t>
  </si>
  <si>
    <t>Disponibles para la venta de entidades del sector privado y sector
financiero popular y solidario</t>
  </si>
  <si>
    <t>Mantenidas hasta su vencimiento de entidades del sector privado y
sector financiero popular y solidario</t>
  </si>
  <si>
    <t>Cartera de crédito de vivienda de interés público y vivienda de
interés social por vencer</t>
  </si>
  <si>
    <t>Cuentas  por cobrar por cartera de vivienda vendida al fideicomiso
de titularización</t>
  </si>
  <si>
    <t>BIENES REALIZABLES, ADJUDICADOS POR PAGO, DE
ARRENDAMIENTO MERCANTIL Y NO UTILIZADOS POR LA</t>
  </si>
  <si>
    <t>Total Activos y Contingentes con Ponderaciones Generales</t>
  </si>
  <si>
    <t>COMPOSICIÓN DE PATRIMONIO TÉCNICO</t>
  </si>
  <si>
    <t>TOTAL PATRIMONIO TÉCNICO PRIMARIO</t>
  </si>
  <si>
    <t>TOTAL PATRIMONIO TÉCNICO SECUNDARIO</t>
  </si>
  <si>
    <t>TOTAL PATRIMONIO TÉCNICO CONSTITUIDO</t>
  </si>
  <si>
    <t>COMPOSICIÓN DE ACTIVOS Y CONTINGENTES PONDERADOS POR RIESGO</t>
  </si>
  <si>
    <t>Activos ponderados con 0.00</t>
  </si>
  <si>
    <t>Activos ponderados con 0.20</t>
  </si>
  <si>
    <t>Activos ponderados con 0.50</t>
  </si>
  <si>
    <t>Activos ponderados con 1.00</t>
  </si>
  <si>
    <t>TOTAL ACTIVOS Y CONTINGENTES PONDERADOS POR RIESGO</t>
  </si>
  <si>
    <t>POSICIÓN, REQUERIMIENTO Y RELACIÓN DE PATRIMONIO TÉCNICO</t>
  </si>
  <si>
    <t>E = C/D</t>
  </si>
  <si>
    <t>SOLVENCIA</t>
  </si>
  <si>
    <t>F</t>
  </si>
  <si>
    <t>Porcentaje mínimo de solvencia</t>
  </si>
  <si>
    <t>G = D*F</t>
  </si>
  <si>
    <t>PATRIMONIO TÉCNICO REQUERIDO</t>
  </si>
  <si>
    <t>H = C - G</t>
  </si>
  <si>
    <t>EXCEDENTE O DEFICIENCIA DE PATRIMONIO REQUERIDO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</si>
  <si>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</si>
  <si>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</si>
  <si>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</si>
  <si>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</si>
  <si>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</si>
  <si>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</si>
  <si>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</si>
  <si>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</si>
  <si>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</si>
  <si>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</si>
  <si>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 MENOS GASTOS</t>
  </si>
  <si>
    <t>DESCRIPCION</t>
  </si>
  <si>
    <t>suma</t>
  </si>
  <si>
    <t>VALOR</t>
  </si>
  <si>
    <t>Resultado</t>
  </si>
  <si>
    <t>1.2 PASIVOS CON COSTO</t>
  </si>
  <si>
    <t>1.1  ACTIVOS PRODUCTIVOS</t>
  </si>
  <si>
    <t>FORMA DE AGREGACION</t>
  </si>
  <si>
    <t>SUMA</t>
  </si>
  <si>
    <t>CARTETA DE CREDITO DE CONSUMO POR VENCER</t>
  </si>
  <si>
    <t>CARTERA DE MICROCREDITO POR VENCER</t>
  </si>
  <si>
    <t>BANCOS Y OTRAS INSTITUCIONES FINANCIERA</t>
  </si>
  <si>
    <t>RESULTADO</t>
  </si>
  <si>
    <t>1.1 ACTIVOS PRODUCTIVOS</t>
  </si>
  <si>
    <t>1.2 PASIVO CON COSTO</t>
  </si>
  <si>
    <t>CALCULO DEL INDICADOR</t>
  </si>
  <si>
    <t>PASIVOS CON COSTO</t>
  </si>
  <si>
    <t>R.P.= ACTIVO PRODUCTIVO    x100</t>
  </si>
  <si>
    <t>Términos</t>
  </si>
  <si>
    <t>Numerador</t>
  </si>
  <si>
    <t>Denominador</t>
  </si>
  <si>
    <t>UTILIZACION PASIVOS CON COSTO</t>
  </si>
  <si>
    <t>1. RELACION DE PRODUCTUVIDAD</t>
  </si>
  <si>
    <t>1. RELACION DE  PRODUCTIVIDAD</t>
  </si>
  <si>
    <t>2. MOROSIDAD AMPLIADA</t>
  </si>
  <si>
    <t>2.1 CARTERA QUE NO DEVENGA INTERES</t>
  </si>
  <si>
    <t>CARTERA DE CREDITO CONSUMO QUE NO DEVENGA INTERES</t>
  </si>
  <si>
    <t>CARTERA DE MICROCREDITO QUE NO DEVENGA INTERES</t>
  </si>
  <si>
    <t>2.2 CARTERA VENCIDA</t>
  </si>
  <si>
    <t>CARTERA DE CREDITO CONSUMO VENCIDO</t>
  </si>
  <si>
    <t>CARTERA DE MICROCREDITO VENCIDA</t>
  </si>
  <si>
    <t>2.3 CARTERA IMPRODUCTIVA  (C.I =CARTERA VENCIDA + CARTERA QUE NO DEVENGA INTERES</t>
  </si>
  <si>
    <t>2.3 CARTERA IMPRODUCTIVA</t>
  </si>
  <si>
    <t>2.4 CARTERA  BRUTA</t>
  </si>
  <si>
    <t>CARTERA DE CREDITOS</t>
  </si>
  <si>
    <t>(PROVISIONES PARA CREDITOS INCOBRABLES)</t>
  </si>
  <si>
    <t>M.A= CARTEREA IMPODUCTIVA  *100</t>
  </si>
  <si>
    <t xml:space="preserve">                            CARTERA BRUTA</t>
  </si>
  <si>
    <t>TERMINOS</t>
  </si>
  <si>
    <t>NUMERADOR</t>
  </si>
  <si>
    <t>DENOMINADO</t>
  </si>
  <si>
    <t>2.4 CARTERA BRUTA</t>
  </si>
  <si>
    <t xml:space="preserve">                        2. MOROSIDAD AMPLIADA</t>
  </si>
  <si>
    <t>OPTIMO 10%</t>
  </si>
  <si>
    <t>ADECUADO MENOR AL 18%</t>
  </si>
  <si>
    <t>RESTA</t>
  </si>
  <si>
    <t>3.1 GASTOS DE OPERACIÓN</t>
  </si>
  <si>
    <t>* La cuenta de gastos de operación se encuentra anualizada cuenta *12/mes</t>
  </si>
  <si>
    <t>3.2 MARGEN FINANCIERO NETO</t>
  </si>
  <si>
    <t>INTERES Y DESCUENTOS GANADOS</t>
  </si>
  <si>
    <t>INTERES CAUSADOS</t>
  </si>
  <si>
    <t>COMISIONES CUASADAS</t>
  </si>
  <si>
    <t>PERDIDAS FINANCIERAS</t>
  </si>
  <si>
    <t>3.2  MARGEN FINANCIERO NETO</t>
  </si>
  <si>
    <t>3.3 CALCULO DEL INDICADOR</t>
  </si>
  <si>
    <t xml:space="preserve">                                        MARGEN FINANCIERO NETO</t>
  </si>
  <si>
    <t>G.A.M.F.N..=  GASTOS OPERATIVOS                              X100</t>
  </si>
  <si>
    <t>3. GRADO DE ABSORCION DEL MARGEN FINANCIERO</t>
  </si>
  <si>
    <t>SEGURO IESS</t>
  </si>
  <si>
    <t>OBLIGACIONES FINANCIERSAS</t>
  </si>
  <si>
    <t>nov</t>
  </si>
  <si>
    <t>AÑO 2025</t>
  </si>
  <si>
    <t>3. GRADO DE ABSORCION  MARGEN FINANCIERO</t>
  </si>
  <si>
    <t>1.CALIDAD DE ACTIVOS</t>
  </si>
  <si>
    <t>GASTOS DE OPERACION</t>
  </si>
  <si>
    <t>ene</t>
  </si>
  <si>
    <t>feb</t>
  </si>
  <si>
    <t>mar</t>
  </si>
  <si>
    <t>abril</t>
  </si>
  <si>
    <t>dic</t>
  </si>
  <si>
    <t>juni</t>
  </si>
  <si>
    <t>mayo</t>
  </si>
  <si>
    <t>julio</t>
  </si>
  <si>
    <t>agos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</si>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</sst>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\ _$_-;\-* #,##0.00\ _$_-;_-* &quot;-&quot;??\ _$_-;_-@_-"/>
    <numFmt numFmtId="165" formatCode="_(* #,##0.00_);_(* \(#,##0.00\);_(* &quot;-&quot;??_);_(@_)"/>
    <numFmt numFmtId="166" formatCode="_(* #,##0_);_(* \(#,##0\);_(* &quot;-&quot;_);_(@_)"/>
    <numFmt numFmtId="167" formatCode="_-* #,##0.0000\ _$_-;\-* #,##0.0000\ _$_-;_-* &quot;-&quot;??\ _$_-;_-@_-"/>
    <numFmt numFmtId="168" formatCode="_-* #,##0.00000\ _$_-;\-* #,##0.00000\ _$_-;_-* &quot;-&quot;??\ _$_-;_-@_-"/>
  </numFmts>
  <fonts count="17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Times New Roman"/>
      <family val="2"/>
    </font>
    <font>
      <b/>
      <sz val="13"/>
      <name val="Arial"/>
      <family val="2"/>
    </font>
    <font>
      <b/>
      <sz val="12"/>
      <name val="Calibri"/>
      <family val="2"/>
    </font>
    <font>
      <b/>
      <sz val="8"/>
      <name val="Arial"/>
      <family val="2"/>
    </font>
    <font>
      <sz val="11"/>
      <name val="Times New Roman"/>
      <family val="2"/>
    </font>
    <font>
      <sz val="9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E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2" borderId="0" xfId="0" applyFill="1"/>
    <xf numFmtId="2" fontId="0" fillId="2" borderId="0" xfId="0" applyNumberFormat="1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wrapText="1"/>
    </xf>
    <xf numFmtId="0" fontId="0" fillId="0" borderId="6" xfId="0" applyBorder="1"/>
    <xf numFmtId="14" fontId="0" fillId="4" borderId="0" xfId="0" applyNumberFormat="1" applyFill="1"/>
    <xf numFmtId="164" fontId="0" fillId="4" borderId="1" xfId="3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167" fontId="0" fillId="4" borderId="1" xfId="0" applyNumberFormat="1" applyFill="1" applyBorder="1"/>
    <xf numFmtId="168" fontId="4" fillId="4" borderId="1" xfId="0" applyNumberFormat="1" applyFont="1" applyFill="1" applyBorder="1"/>
    <xf numFmtId="0" fontId="7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  <xf numFmtId="14" fontId="5" fillId="0" borderId="0" xfId="0" applyNumberFormat="1" applyFont="1" applyAlignment="1">
      <alignment horizontal="left"/>
    </xf>
    <xf numFmtId="2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6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5" xfId="0" applyBorder="1"/>
    <xf numFmtId="0" fontId="0" fillId="0" borderId="4" xfId="0" applyBorder="1"/>
    <xf numFmtId="0" fontId="11" fillId="0" borderId="1" xfId="0" applyFont="1" applyBorder="1" applyAlignment="1">
      <alignment horizontal="center"/>
    </xf>
    <xf numFmtId="0" fontId="11" fillId="0" borderId="2" xfId="0" applyFont="1" applyBorder="1"/>
    <xf numFmtId="0" fontId="12" fillId="0" borderId="1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11" fillId="0" borderId="4" xfId="0" applyFont="1" applyBorder="1" applyAlignment="1">
      <alignment horizontal="center"/>
    </xf>
    <xf numFmtId="0" fontId="0" fillId="0" borderId="10" xfId="0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/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horizontal="left" wrapText="1"/>
    </xf>
    <xf numFmtId="0" fontId="6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164" fontId="5" fillId="0" borderId="0" xfId="3" applyFont="1" applyBorder="1" applyAlignment="1">
      <alignment horizontal="right"/>
    </xf>
    <xf numFmtId="2" fontId="5" fillId="0" borderId="0" xfId="3" applyNumberFormat="1" applyFont="1" applyBorder="1" applyAlignment="1">
      <alignment horizontal="right"/>
    </xf>
    <xf numFmtId="164" fontId="0" fillId="0" borderId="0" xfId="3" applyFont="1" applyBorder="1" applyAlignment="1"/>
    <xf numFmtId="164" fontId="0" fillId="5" borderId="0" xfId="0" applyNumberFormat="1" applyFill="1"/>
    <xf numFmtId="10" fontId="5" fillId="0" borderId="0" xfId="4" applyNumberFormat="1" applyFont="1" applyBorder="1" applyAlignment="1">
      <alignment horizontal="right"/>
    </xf>
    <xf numFmtId="43" fontId="5" fillId="0" borderId="0" xfId="0" applyNumberFormat="1" applyFont="1" applyAlignment="1">
      <alignment horizontal="right"/>
    </xf>
    <xf numFmtId="10" fontId="13" fillId="0" borderId="0" xfId="4" applyNumberFormat="1" applyFont="1" applyBorder="1" applyAlignment="1">
      <alignment horizontal="right"/>
    </xf>
    <xf numFmtId="0" fontId="0" fillId="2" borderId="1" xfId="0" applyFill="1" applyBorder="1"/>
    <xf numFmtId="43" fontId="0" fillId="0" borderId="0" xfId="0" applyNumberFormat="1"/>
    <xf numFmtId="43" fontId="6" fillId="8" borderId="5" xfId="3" applyNumberFormat="1" applyFont="1" applyFill="1" applyBorder="1" applyAlignment="1">
      <alignment horizontal="right"/>
    </xf>
    <xf numFmtId="0" fontId="0" fillId="8" borderId="0" xfId="0" applyFill="1"/>
    <xf numFmtId="2" fontId="5" fillId="8" borderId="6" xfId="3" applyNumberFormat="1" applyFont="1" applyFill="1" applyBorder="1" applyAlignment="1">
      <alignment horizontal="right"/>
    </xf>
    <xf numFmtId="164" fontId="6" fillId="8" borderId="5" xfId="3" applyFont="1" applyFill="1" applyBorder="1" applyAlignment="1">
      <alignment horizontal="right"/>
    </xf>
    <xf numFmtId="164" fontId="11" fillId="8" borderId="5" xfId="3" applyFont="1" applyFill="1" applyBorder="1" applyAlignment="1">
      <alignment horizontal="right"/>
    </xf>
    <xf numFmtId="0" fontId="11" fillId="8" borderId="0" xfId="0" applyFont="1" applyFill="1"/>
    <xf numFmtId="2" fontId="5" fillId="8" borderId="6" xfId="0" applyNumberFormat="1" applyFont="1" applyFill="1" applyBorder="1" applyAlignment="1">
      <alignment horizontal="right"/>
    </xf>
    <xf numFmtId="0" fontId="16" fillId="9" borderId="15" xfId="0" applyFont="1" applyFill="1" applyBorder="1" applyAlignment="1">
      <alignment horizontal="center" vertical="center" wrapText="1"/>
    </xf>
    <xf numFmtId="4" fontId="16" fillId="9" borderId="15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2" borderId="2" xfId="0" applyFill="1" applyBorder="1"/>
    <xf numFmtId="0" fontId="0" fillId="2" borderId="4" xfId="0" applyFill="1" applyBorder="1"/>
    <xf numFmtId="4" fontId="15" fillId="2" borderId="1" xfId="0" applyNumberFormat="1" applyFont="1" applyFill="1" applyBorder="1"/>
    <xf numFmtId="0" fontId="16" fillId="2" borderId="15" xfId="0" applyFont="1" applyFill="1" applyBorder="1" applyAlignment="1">
      <alignment horizontal="center" vertical="center" wrapText="1"/>
    </xf>
    <xf numFmtId="4" fontId="16" fillId="2" borderId="15" xfId="0" applyNumberFormat="1" applyFont="1" applyFill="1" applyBorder="1" applyAlignment="1">
      <alignment horizontal="center" vertical="center" wrapText="1"/>
    </xf>
    <xf numFmtId="4" fontId="0" fillId="0" borderId="16" xfId="1" applyNumberFormat="1" applyFont="1" applyBorder="1"/>
    <xf numFmtId="4" fontId="14" fillId="2" borderId="1" xfId="0" applyNumberFormat="1" applyFont="1" applyFill="1" applyBorder="1"/>
    <xf numFmtId="165" fontId="0" fillId="0" borderId="16" xfId="1" applyFont="1" applyBorder="1"/>
    <xf numFmtId="165" fontId="14" fillId="2" borderId="1" xfId="0" applyNumberFormat="1" applyFont="1" applyFill="1" applyBorder="1"/>
    <xf numFmtId="10" fontId="3" fillId="9" borderId="17" xfId="4" applyNumberFormat="1" applyFont="1" applyFill="1" applyBorder="1"/>
    <xf numFmtId="10" fontId="15" fillId="2" borderId="1" xfId="4" applyNumberFormat="1" applyFont="1" applyFill="1" applyBorder="1"/>
    <xf numFmtId="10" fontId="3" fillId="9" borderId="1" xfId="4" applyNumberFormat="1" applyFont="1" applyFill="1" applyBorder="1"/>
    <xf numFmtId="10" fontId="0" fillId="10" borderId="1" xfId="0" applyNumberFormat="1" applyFill="1" applyBorder="1"/>
    <xf numFmtId="0" fontId="0" fillId="2" borderId="13" xfId="0" applyFill="1" applyBorder="1"/>
    <xf numFmtId="164" fontId="0" fillId="10" borderId="1" xfId="3" applyFont="1" applyFill="1" applyBorder="1"/>
    <xf numFmtId="164" fontId="0" fillId="2" borderId="0" xfId="0" applyNumberFormat="1" applyFill="1"/>
    <xf numFmtId="10" fontId="0" fillId="2" borderId="0" xfId="0" applyNumberFormat="1" applyFill="1"/>
    <xf numFmtId="0" fontId="0" fillId="2" borderId="1" xfId="0" applyFill="1" applyBorder="1" applyAlignment="1">
      <alignment wrapText="1"/>
    </xf>
    <xf numFmtId="10" fontId="4" fillId="10" borderId="1" xfId="0" applyNumberFormat="1" applyFont="1" applyFill="1" applyBorder="1"/>
    <xf numFmtId="0" fontId="4" fillId="10" borderId="1" xfId="0" applyFont="1" applyFill="1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8" xfId="0" applyFill="1" applyBorder="1"/>
    <xf numFmtId="0" fontId="1" fillId="2" borderId="13" xfId="0" applyFont="1" applyFill="1" applyBorder="1"/>
    <xf numFmtId="0" fontId="16" fillId="9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1" fillId="2" borderId="12" xfId="0" applyFont="1" applyFill="1" applyBorder="1"/>
    <xf numFmtId="0" fontId="0" fillId="7" borderId="0" xfId="0" applyFill="1"/>
    <xf numFmtId="0" fontId="0" fillId="7" borderId="12" xfId="0" applyFill="1" applyBorder="1"/>
    <xf numFmtId="0" fontId="0" fillId="7" borderId="8" xfId="0" applyFill="1" applyBorder="1"/>
    <xf numFmtId="10" fontId="0" fillId="2" borderId="3" xfId="0" applyNumberFormat="1" applyFill="1" applyBorder="1"/>
    <xf numFmtId="0" fontId="0" fillId="2" borderId="8" xfId="0" applyFill="1" applyBorder="1" applyAlignment="1">
      <alignment horizontal="center"/>
    </xf>
    <xf numFmtId="10" fontId="0" fillId="2" borderId="8" xfId="0" applyNumberFormat="1" applyFill="1" applyBorder="1"/>
    <xf numFmtId="0" fontId="0" fillId="0" borderId="21" xfId="0" applyBorder="1"/>
    <xf numFmtId="0" fontId="6" fillId="8" borderId="21" xfId="0" applyFont="1" applyFill="1" applyBorder="1" applyAlignment="1">
      <alignment horizontal="center"/>
    </xf>
    <xf numFmtId="164" fontId="5" fillId="8" borderId="21" xfId="3" applyFont="1" applyFill="1" applyBorder="1" applyAlignment="1">
      <alignment horizontal="right"/>
    </xf>
    <xf numFmtId="2" fontId="5" fillId="8" borderId="21" xfId="3" applyNumberFormat="1" applyFont="1" applyFill="1" applyBorder="1" applyAlignment="1">
      <alignment horizontal="right"/>
    </xf>
    <xf numFmtId="2" fontId="5" fillId="8" borderId="21" xfId="0" applyNumberFormat="1" applyFont="1" applyFill="1" applyBorder="1" applyAlignment="1">
      <alignment horizontal="right"/>
    </xf>
    <xf numFmtId="0" fontId="5" fillId="8" borderId="21" xfId="0" applyFont="1" applyFill="1" applyBorder="1"/>
    <xf numFmtId="14" fontId="0" fillId="5" borderId="21" xfId="0" applyNumberFormat="1" applyFill="1" applyBorder="1"/>
    <xf numFmtId="0" fontId="10" fillId="8" borderId="22" xfId="0" applyFont="1" applyFill="1" applyBorder="1" applyAlignment="1">
      <alignment horizontal="right"/>
    </xf>
    <xf numFmtId="14" fontId="0" fillId="5" borderId="24" xfId="0" applyNumberFormat="1" applyFill="1" applyBorder="1"/>
    <xf numFmtId="0" fontId="0" fillId="3" borderId="0" xfId="0" applyFill="1"/>
    <xf numFmtId="164" fontId="0" fillId="3" borderId="0" xfId="0" applyNumberFormat="1" applyFill="1"/>
    <xf numFmtId="17" fontId="0" fillId="2" borderId="0" xfId="0" applyNumberFormat="1" applyFill="1"/>
    <xf numFmtId="0" fontId="10" fillId="11" borderId="22" xfId="0" applyFont="1" applyFill="1" applyBorder="1" applyAlignment="1">
      <alignment horizontal="right"/>
    </xf>
    <xf numFmtId="0" fontId="10" fillId="11" borderId="25" xfId="0" applyFont="1" applyFill="1" applyBorder="1" applyAlignment="1">
      <alignment horizontal="right"/>
    </xf>
    <xf numFmtId="0" fontId="6" fillId="11" borderId="21" xfId="0" applyFont="1" applyFill="1" applyBorder="1" applyAlignment="1">
      <alignment horizontal="center"/>
    </xf>
    <xf numFmtId="0" fontId="6" fillId="11" borderId="24" xfId="0" applyFont="1" applyFill="1" applyBorder="1" applyAlignment="1">
      <alignment horizontal="center"/>
    </xf>
    <xf numFmtId="164" fontId="5" fillId="11" borderId="21" xfId="3" applyFont="1" applyFill="1" applyBorder="1" applyAlignment="1">
      <alignment horizontal="right"/>
    </xf>
    <xf numFmtId="164" fontId="5" fillId="11" borderId="24" xfId="3" applyFont="1" applyFill="1" applyBorder="1" applyAlignment="1">
      <alignment horizontal="right"/>
    </xf>
    <xf numFmtId="2" fontId="5" fillId="11" borderId="21" xfId="3" applyNumberFormat="1" applyFont="1" applyFill="1" applyBorder="1" applyAlignment="1">
      <alignment horizontal="right"/>
    </xf>
    <xf numFmtId="2" fontId="5" fillId="11" borderId="24" xfId="3" applyNumberFormat="1" applyFont="1" applyFill="1" applyBorder="1" applyAlignment="1">
      <alignment horizontal="right"/>
    </xf>
    <xf numFmtId="43" fontId="6" fillId="11" borderId="5" xfId="3" applyNumberFormat="1" applyFont="1" applyFill="1" applyBorder="1" applyAlignment="1">
      <alignment horizontal="right"/>
    </xf>
    <xf numFmtId="43" fontId="6" fillId="11" borderId="26" xfId="3" applyNumberFormat="1" applyFont="1" applyFill="1" applyBorder="1" applyAlignment="1">
      <alignment horizontal="right"/>
    </xf>
    <xf numFmtId="0" fontId="0" fillId="11" borderId="0" xfId="0" applyFill="1"/>
    <xf numFmtId="2" fontId="5" fillId="11" borderId="21" xfId="0" applyNumberFormat="1" applyFont="1" applyFill="1" applyBorder="1" applyAlignment="1">
      <alignment horizontal="right"/>
    </xf>
    <xf numFmtId="2" fontId="5" fillId="11" borderId="24" xfId="0" applyNumberFormat="1" applyFont="1" applyFill="1" applyBorder="1" applyAlignment="1">
      <alignment horizontal="right"/>
    </xf>
    <xf numFmtId="2" fontId="5" fillId="11" borderId="6" xfId="3" applyNumberFormat="1" applyFont="1" applyFill="1" applyBorder="1" applyAlignment="1">
      <alignment horizontal="right"/>
    </xf>
    <xf numFmtId="2" fontId="5" fillId="11" borderId="23" xfId="3" applyNumberFormat="1" applyFont="1" applyFill="1" applyBorder="1" applyAlignment="1">
      <alignment horizontal="right"/>
    </xf>
    <xf numFmtId="164" fontId="6" fillId="11" borderId="5" xfId="3" applyFont="1" applyFill="1" applyBorder="1" applyAlignment="1">
      <alignment horizontal="right"/>
    </xf>
    <xf numFmtId="164" fontId="6" fillId="11" borderId="26" xfId="3" applyFont="1" applyFill="1" applyBorder="1" applyAlignment="1">
      <alignment horizontal="right"/>
    </xf>
    <xf numFmtId="164" fontId="11" fillId="11" borderId="5" xfId="3" applyFont="1" applyFill="1" applyBorder="1" applyAlignment="1">
      <alignment horizontal="right"/>
    </xf>
    <xf numFmtId="164" fontId="11" fillId="11" borderId="26" xfId="3" applyFont="1" applyFill="1" applyBorder="1" applyAlignment="1">
      <alignment horizontal="right"/>
    </xf>
    <xf numFmtId="0" fontId="11" fillId="11" borderId="0" xfId="0" applyFont="1" applyFill="1"/>
    <xf numFmtId="0" fontId="5" fillId="11" borderId="21" xfId="0" applyFont="1" applyFill="1" applyBorder="1"/>
    <xf numFmtId="0" fontId="5" fillId="11" borderId="24" xfId="0" applyFont="1" applyFill="1" applyBorder="1"/>
    <xf numFmtId="2" fontId="5" fillId="11" borderId="6" xfId="0" applyNumberFormat="1" applyFont="1" applyFill="1" applyBorder="1" applyAlignment="1">
      <alignment horizontal="right"/>
    </xf>
    <xf numFmtId="2" fontId="5" fillId="11" borderId="23" xfId="0" applyNumberFormat="1" applyFont="1" applyFill="1" applyBorder="1" applyAlignment="1">
      <alignment horizontal="right"/>
    </xf>
    <xf numFmtId="0" fontId="0" fillId="11" borderId="21" xfId="0" applyFill="1" applyBorder="1"/>
    <xf numFmtId="0" fontId="0" fillId="11" borderId="24" xfId="0" applyFill="1" applyBorder="1"/>
    <xf numFmtId="0" fontId="6" fillId="11" borderId="25" xfId="0" applyFont="1" applyFill="1" applyBorder="1" applyAlignment="1">
      <alignment horizontal="center"/>
    </xf>
    <xf numFmtId="164" fontId="5" fillId="11" borderId="25" xfId="3" applyFont="1" applyFill="1" applyBorder="1" applyAlignment="1">
      <alignment horizontal="right"/>
    </xf>
    <xf numFmtId="2" fontId="5" fillId="11" borderId="25" xfId="3" applyNumberFormat="1" applyFont="1" applyFill="1" applyBorder="1" applyAlignment="1">
      <alignment horizontal="right"/>
    </xf>
    <xf numFmtId="2" fontId="5" fillId="11" borderId="25" xfId="0" applyNumberFormat="1" applyFont="1" applyFill="1" applyBorder="1" applyAlignment="1">
      <alignment horizontal="right"/>
    </xf>
    <xf numFmtId="2" fontId="5" fillId="11" borderId="9" xfId="3" applyNumberFormat="1" applyFont="1" applyFill="1" applyBorder="1" applyAlignment="1">
      <alignment horizontal="right"/>
    </xf>
    <xf numFmtId="0" fontId="5" fillId="11" borderId="25" xfId="0" applyFont="1" applyFill="1" applyBorder="1"/>
    <xf numFmtId="2" fontId="5" fillId="11" borderId="9" xfId="0" applyNumberFormat="1" applyFont="1" applyFill="1" applyBorder="1" applyAlignment="1">
      <alignment horizontal="right"/>
    </xf>
    <xf numFmtId="0" fontId="10" fillId="11" borderId="28" xfId="0" applyFont="1" applyFill="1" applyBorder="1" applyAlignment="1">
      <alignment horizontal="right"/>
    </xf>
    <xf numFmtId="0" fontId="6" fillId="11" borderId="29" xfId="0" applyFont="1" applyFill="1" applyBorder="1" applyAlignment="1">
      <alignment horizontal="center"/>
    </xf>
    <xf numFmtId="164" fontId="5" fillId="11" borderId="29" xfId="3" applyFont="1" applyFill="1" applyBorder="1" applyAlignment="1">
      <alignment horizontal="right"/>
    </xf>
    <xf numFmtId="2" fontId="5" fillId="11" borderId="29" xfId="3" applyNumberFormat="1" applyFont="1" applyFill="1" applyBorder="1" applyAlignment="1">
      <alignment horizontal="right"/>
    </xf>
    <xf numFmtId="43" fontId="6" fillId="11" borderId="28" xfId="3" applyNumberFormat="1" applyFont="1" applyFill="1" applyBorder="1" applyAlignment="1">
      <alignment horizontal="right"/>
    </xf>
    <xf numFmtId="0" fontId="0" fillId="11" borderId="30" xfId="0" applyFill="1" applyBorder="1"/>
    <xf numFmtId="2" fontId="5" fillId="11" borderId="29" xfId="0" applyNumberFormat="1" applyFont="1" applyFill="1" applyBorder="1" applyAlignment="1">
      <alignment horizontal="right"/>
    </xf>
    <xf numFmtId="2" fontId="5" fillId="11" borderId="31" xfId="3" applyNumberFormat="1" applyFont="1" applyFill="1" applyBorder="1" applyAlignment="1">
      <alignment horizontal="right"/>
    </xf>
    <xf numFmtId="164" fontId="6" fillId="11" borderId="28" xfId="3" applyFont="1" applyFill="1" applyBorder="1" applyAlignment="1">
      <alignment horizontal="right"/>
    </xf>
    <xf numFmtId="164" fontId="11" fillId="11" borderId="28" xfId="3" applyFont="1" applyFill="1" applyBorder="1" applyAlignment="1">
      <alignment horizontal="right"/>
    </xf>
    <xf numFmtId="0" fontId="11" fillId="11" borderId="30" xfId="0" applyFont="1" applyFill="1" applyBorder="1"/>
    <xf numFmtId="0" fontId="5" fillId="11" borderId="29" xfId="0" applyFont="1" applyFill="1" applyBorder="1"/>
    <xf numFmtId="2" fontId="5" fillId="11" borderId="31" xfId="0" applyNumberFormat="1" applyFont="1" applyFill="1" applyBorder="1" applyAlignment="1">
      <alignment horizontal="right"/>
    </xf>
    <xf numFmtId="0" fontId="11" fillId="0" borderId="30" xfId="0" applyFont="1" applyBorder="1"/>
    <xf numFmtId="0" fontId="0" fillId="0" borderId="30" xfId="0" applyBorder="1"/>
    <xf numFmtId="164" fontId="0" fillId="0" borderId="30" xfId="3" applyFont="1" applyBorder="1" applyAlignment="1"/>
    <xf numFmtId="0" fontId="6" fillId="6" borderId="30" xfId="0" applyFont="1" applyFill="1" applyBorder="1" applyAlignment="1">
      <alignment horizontal="center"/>
    </xf>
    <xf numFmtId="2" fontId="5" fillId="0" borderId="30" xfId="3" applyNumberFormat="1" applyFont="1" applyBorder="1" applyAlignment="1">
      <alignment horizontal="right"/>
    </xf>
    <xf numFmtId="164" fontId="5" fillId="0" borderId="30" xfId="3" applyFont="1" applyBorder="1" applyAlignment="1">
      <alignment horizontal="right"/>
    </xf>
    <xf numFmtId="0" fontId="5" fillId="0" borderId="30" xfId="0" applyFont="1" applyBorder="1" applyAlignment="1">
      <alignment horizontal="right"/>
    </xf>
    <xf numFmtId="10" fontId="5" fillId="0" borderId="30" xfId="4" applyNumberFormat="1" applyFont="1" applyBorder="1" applyAlignment="1">
      <alignment horizontal="right"/>
    </xf>
    <xf numFmtId="10" fontId="13" fillId="0" borderId="30" xfId="4" applyNumberFormat="1" applyFont="1" applyBorder="1" applyAlignment="1">
      <alignment horizontal="right"/>
    </xf>
    <xf numFmtId="43" fontId="5" fillId="0" borderId="30" xfId="0" applyNumberFormat="1" applyFont="1" applyBorder="1" applyAlignment="1">
      <alignment horizontal="right"/>
    </xf>
    <xf numFmtId="0" fontId="6" fillId="0" borderId="30" xfId="0" applyFont="1" applyBorder="1" applyAlignment="1">
      <alignment horizontal="center"/>
    </xf>
    <xf numFmtId="0" fontId="10" fillId="11" borderId="27" xfId="0" applyFont="1" applyFill="1" applyBorder="1" applyAlignment="1">
      <alignment horizontal="right"/>
    </xf>
    <xf numFmtId="0" fontId="6" fillId="11" borderId="32" xfId="0" applyFont="1" applyFill="1" applyBorder="1" applyAlignment="1">
      <alignment horizontal="center"/>
    </xf>
    <xf numFmtId="164" fontId="5" fillId="11" borderId="32" xfId="3" applyFont="1" applyFill="1" applyBorder="1" applyAlignment="1">
      <alignment horizontal="right"/>
    </xf>
    <xf numFmtId="2" fontId="5" fillId="11" borderId="32" xfId="3" applyNumberFormat="1" applyFont="1" applyFill="1" applyBorder="1" applyAlignment="1">
      <alignment horizontal="right"/>
    </xf>
    <xf numFmtId="43" fontId="6" fillId="11" borderId="30" xfId="3" applyNumberFormat="1" applyFont="1" applyFill="1" applyBorder="1" applyAlignment="1">
      <alignment horizontal="right"/>
    </xf>
    <xf numFmtId="2" fontId="5" fillId="11" borderId="32" xfId="0" applyNumberFormat="1" applyFont="1" applyFill="1" applyBorder="1" applyAlignment="1">
      <alignment horizontal="right"/>
    </xf>
    <xf numFmtId="164" fontId="6" fillId="11" borderId="30" xfId="3" applyFont="1" applyFill="1" applyBorder="1" applyAlignment="1">
      <alignment horizontal="right"/>
    </xf>
    <xf numFmtId="164" fontId="11" fillId="11" borderId="30" xfId="3" applyFont="1" applyFill="1" applyBorder="1" applyAlignment="1">
      <alignment horizontal="right"/>
    </xf>
    <xf numFmtId="0" fontId="5" fillId="11" borderId="32" xfId="0" applyFont="1" applyFill="1" applyBorder="1"/>
    <xf numFmtId="0" fontId="5" fillId="0" borderId="0" xfId="0" applyFont="1"/>
    <xf numFmtId="0" fontId="0" fillId="0" borderId="0" xfId="0"/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0" xfId="0" applyFont="1"/>
    <xf numFmtId="0" fontId="6" fillId="0" borderId="3" xfId="0" applyFont="1" applyBorder="1"/>
    <xf numFmtId="0" fontId="0" fillId="0" borderId="3" xfId="0" applyBorder="1"/>
    <xf numFmtId="0" fontId="14" fillId="2" borderId="20" xfId="0" applyFont="1" applyFill="1" applyBorder="1" applyAlignment="1">
      <alignment horizontal="left"/>
    </xf>
    <xf numFmtId="0" fontId="14" fillId="2" borderId="18" xfId="0" applyFont="1" applyFill="1" applyBorder="1" applyAlignment="1">
      <alignment horizontal="left"/>
    </xf>
  </cellXfs>
  <cellStyles count="5">
    <cellStyle name="Millares" xfId="3" builtinId="3"/>
    <cellStyle name="Millares [0] 2" xfId="2" xr:uid="{00000000-0005-0000-0000-000002000000}"/>
    <cellStyle name="Millares 2" xfId="1" xr:uid="{00000000-0005-0000-0000-000003000000}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0</xdr:colOff>
      <xdr:row>98</xdr:row>
      <xdr:rowOff>0</xdr:rowOff>
    </xdr:from>
    <xdr:to>
      <xdr:col>56</xdr:col>
      <xdr:colOff>401489</xdr:colOff>
      <xdr:row>127</xdr:row>
      <xdr:rowOff>76982</xdr:rowOff>
    </xdr:to>
    <xdr:pic>
      <xdr:nvPicPr>
        <xdr:cNvPr id="2" name="Imagen 1" descr="Tabla&#10;&#10;Descripción generada automáticamente">
          <a:extLst>
            <a:ext uri="{FF2B5EF4-FFF2-40B4-BE49-F238E27FC236}">
              <a16:creationId xmlns:a16="http://schemas.microsoft.com/office/drawing/2014/main" id="{7E2AD5E3-C902-645A-C09F-A1ABCD6B0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65844" y="21050250"/>
          <a:ext cx="10307488" cy="5601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836B3CDA-5C3A-4851-B5EE-83571DA2E6B4}"/>
            </a:ext>
          </a:extLst>
        </xdr:cNvPr>
        <xdr:cNvCxnSpPr/>
      </xdr:nvCxnSpPr>
      <xdr:spPr>
        <a:xfrm>
          <a:off x="1955347" y="112639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4CF1F52-EBDD-4A0D-98C8-A8874133B6A3}"/>
            </a:ext>
          </a:extLst>
        </xdr:cNvPr>
        <xdr:cNvCxnSpPr/>
      </xdr:nvCxnSpPr>
      <xdr:spPr>
        <a:xfrm flipV="1">
          <a:off x="2363561" y="201793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7B65579-F6E3-45CD-81F5-A1EC65E9BBAB}"/>
            </a:ext>
          </a:extLst>
        </xdr:cNvPr>
        <xdr:cNvCxnSpPr/>
      </xdr:nvCxnSpPr>
      <xdr:spPr>
        <a:xfrm>
          <a:off x="2771774" y="542734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124885F8-2EE9-4C0D-BB1E-31EA4D60A354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2CF6ED8-50AB-4F09-B08D-986EC83253E2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65C7A10-FD16-4390-B093-973735552DA9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7E79610-EA17-44DF-9AE8-8FB32175F730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A0357C0-1754-48ED-8B27-E1E2EBD81A4C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9CF698C-285A-44CE-8027-62784582F52D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953900C-2A95-4307-83F9-9FEA26668103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85DEDABF-254F-4F3E-AF38-A7045A414855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DFB160E-3753-4691-9952-2513384F94DE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CB30D6DE-D66A-4347-92E0-7B1C0753AE19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F806371-4B36-4E63-9502-92976F088238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5AE5465-4ACF-4B66-9937-AB6D30C599C6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9E30DDB-55BD-49EA-BA8E-8C9037501734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4C500C3-66BC-4C3B-B694-2E5DCC6EE831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2DE67684-B5B5-4742-84C4-5DEBBBCF686A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C0270148-5F8C-4B2F-AD9A-A79A5311150B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9D45853-E31C-441B-B553-AECA823A1FC7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167E6EC5-7C89-4DE8-9E0C-B33BA48B735D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204DBF07-B80F-4881-B737-109AC86066ED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50637C99-7ED9-49D7-8694-D0D265C78EDA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3049895-8840-4AB8-A027-4698FE392447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C9760B6B-0FBD-4054-AB48-25C88C76A69E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C7DC443F-E432-4729-8961-52370800FA8F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EB43160-FABA-4DCA-89CD-23F2BD2ACB32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5E97EBD-2C07-447D-B85C-398C5A37923C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39A6EC3-156F-49D9-B202-F54AF7CE6180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6469BAF-31D1-429D-A8F4-BC27B06DCC1F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BD4A4CD-420A-4139-956D-8BAC429E9598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A38EB4AF-6B9A-426A-BF87-989F97D05003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6E65CC8-8738-4C51-A780-759EB469B627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40822</xdr:colOff>
      <xdr:row>21</xdr:row>
      <xdr:rowOff>176893</xdr:rowOff>
    </xdr:from>
    <xdr:to>
      <xdr:col>2</xdr:col>
      <xdr:colOff>2109107</xdr:colOff>
      <xdr:row>22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14C968-0A0F-4AA4-B634-039CD9017E68}"/>
            </a:ext>
          </a:extLst>
        </xdr:cNvPr>
        <xdr:cNvCxnSpPr/>
      </xdr:nvCxnSpPr>
      <xdr:spPr>
        <a:xfrm>
          <a:off x="1955347" y="4177393"/>
          <a:ext cx="2068285" cy="136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449036</xdr:colOff>
      <xdr:row>67</xdr:row>
      <xdr:rowOff>176892</xdr:rowOff>
    </xdr:from>
    <xdr:to>
      <xdr:col>2</xdr:col>
      <xdr:colOff>2558143</xdr:colOff>
      <xdr:row>68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59E6F7D-18EB-47A7-93F8-433A8A0C1968}"/>
            </a:ext>
          </a:extLst>
        </xdr:cNvPr>
        <xdr:cNvCxnSpPr/>
      </xdr:nvCxnSpPr>
      <xdr:spPr>
        <a:xfrm flipV="1">
          <a:off x="2363561" y="13092792"/>
          <a:ext cx="2109107" cy="1360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857249</xdr:colOff>
      <xdr:row>109</xdr:row>
      <xdr:rowOff>0</xdr:rowOff>
    </xdr:from>
    <xdr:to>
      <xdr:col>2</xdr:col>
      <xdr:colOff>3088822</xdr:colOff>
      <xdr:row>109</xdr:row>
      <xdr:rowOff>27214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D098C27-3E6C-4D1A-8C5E-327F0507B67B}"/>
            </a:ext>
          </a:extLst>
        </xdr:cNvPr>
        <xdr:cNvCxnSpPr/>
      </xdr:nvCxnSpPr>
      <xdr:spPr>
        <a:xfrm>
          <a:off x="2771774" y="22688550"/>
          <a:ext cx="2231573" cy="2721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71B38-6E51-40ED-97AE-49C28B02E608}">
  <dimension ref="A1:AQ99"/>
  <sheetViews>
    <sheetView topLeftCell="A13" zoomScale="80" zoomScaleNormal="80" workbookViewId="0">
      <pane xSplit="4" ySplit="2" topLeftCell="AJ71" activePane="bottomRight" state="frozen"/>
      <selection activeCell="A13" sqref="A13"/>
      <selection pane="topRight" activeCell="E13" sqref="E13"/>
      <selection pane="bottomLeft" activeCell="A14" sqref="A14"/>
      <selection pane="bottomRight" activeCell="AQ26" sqref="AQ26"/>
    </sheetView>
  </sheetViews>
  <sheetFormatPr baseColWidth="10" defaultRowHeight="14.4" x14ac:dyDescent="0.3"/>
  <cols>
    <col min="1" max="1" width="15.33203125" customWidth="1"/>
    <col min="2" max="2" width="14.44140625" customWidth="1"/>
    <col min="4" max="4" width="42.5546875" customWidth="1"/>
    <col min="5" max="18" width="18" customWidth="1"/>
    <col min="19" max="19" width="19.88671875" customWidth="1"/>
    <col min="20" max="24" width="18" customWidth="1"/>
    <col min="25" max="25" width="19.88671875" customWidth="1"/>
    <col min="26" max="36" width="18" customWidth="1"/>
    <col min="37" max="37" width="20" customWidth="1"/>
    <col min="38" max="42" width="18" customWidth="1"/>
    <col min="43" max="43" width="21.33203125" customWidth="1"/>
  </cols>
  <sheetData>
    <row r="1" spans="1:43" x14ac:dyDescent="0.3">
      <c r="A1" s="186" t="s">
        <v>85</v>
      </c>
      <c r="B1" s="187" t="s">
        <v>86</v>
      </c>
      <c r="C1" s="15" t="s">
        <v>86</v>
      </c>
    </row>
    <row r="2" spans="1:43" x14ac:dyDescent="0.3">
      <c r="A2" s="16" t="s">
        <v>36</v>
      </c>
      <c r="B2" s="49" t="s">
        <v>37</v>
      </c>
      <c r="C2" s="17" t="s">
        <v>86</v>
      </c>
    </row>
    <row r="3" spans="1:43" x14ac:dyDescent="0.3">
      <c r="A3" s="16" t="s">
        <v>87</v>
      </c>
      <c r="B3" s="18" t="s">
        <v>88</v>
      </c>
      <c r="C3" s="17" t="s">
        <v>86</v>
      </c>
    </row>
    <row r="4" spans="1:43" x14ac:dyDescent="0.3">
      <c r="A4" s="16" t="s">
        <v>89</v>
      </c>
      <c r="B4" s="18" t="s">
        <v>90</v>
      </c>
      <c r="C4" s="17" t="s">
        <v>86</v>
      </c>
    </row>
    <row r="5" spans="1:43" x14ac:dyDescent="0.3">
      <c r="A5" s="16" t="s">
        <v>91</v>
      </c>
      <c r="B5" s="19">
        <v>44592</v>
      </c>
      <c r="C5" s="17" t="s">
        <v>86</v>
      </c>
    </row>
    <row r="6" spans="1:43" x14ac:dyDescent="0.3">
      <c r="A6" s="16" t="s">
        <v>92</v>
      </c>
      <c r="B6" s="20"/>
    </row>
    <row r="7" spans="1:43" x14ac:dyDescent="0.3">
      <c r="A7" s="16" t="s">
        <v>93</v>
      </c>
      <c r="B7" s="20"/>
      <c r="C7" t="s">
        <v>86</v>
      </c>
      <c r="D7" t="s">
        <v>86</v>
      </c>
    </row>
    <row r="8" spans="1:43" x14ac:dyDescent="0.3">
      <c r="A8" s="16" t="s">
        <v>94</v>
      </c>
      <c r="B8" s="21">
        <v>1712212669</v>
      </c>
    </row>
    <row r="9" spans="1:43" x14ac:dyDescent="0.3">
      <c r="A9" s="16"/>
      <c r="B9" s="18"/>
    </row>
    <row r="10" spans="1:43" ht="16.8" x14ac:dyDescent="0.3">
      <c r="A10" s="188" t="s">
        <v>95</v>
      </c>
      <c r="B10" s="188"/>
      <c r="C10" s="188"/>
      <c r="D10" s="188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</row>
    <row r="11" spans="1:43" x14ac:dyDescent="0.3">
      <c r="C11" t="s">
        <v>86</v>
      </c>
      <c r="D11" t="s">
        <v>86</v>
      </c>
    </row>
    <row r="12" spans="1:43" x14ac:dyDescent="0.3">
      <c r="A12" s="189" t="s">
        <v>35</v>
      </c>
      <c r="B12" s="189"/>
      <c r="C12" s="189"/>
      <c r="D12" s="189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</row>
    <row r="13" spans="1:43" x14ac:dyDescent="0.3">
      <c r="A13" s="38"/>
      <c r="B13" s="38"/>
      <c r="C13" s="38"/>
      <c r="D13" s="38"/>
      <c r="E13" s="38"/>
      <c r="F13" s="38"/>
      <c r="G13" s="38"/>
      <c r="H13" s="38" t="s">
        <v>220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176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</row>
    <row r="14" spans="1:43" ht="13.5" customHeight="1" x14ac:dyDescent="0.3">
      <c r="A14" s="190" t="s">
        <v>96</v>
      </c>
      <c r="B14" s="190"/>
      <c r="C14" s="190"/>
      <c r="D14" s="190"/>
      <c r="E14" s="115" t="s">
        <v>158</v>
      </c>
      <c r="F14" s="115"/>
      <c r="G14" s="115"/>
      <c r="H14" s="120" t="s">
        <v>78</v>
      </c>
      <c r="I14" s="120"/>
      <c r="J14" s="153"/>
      <c r="K14" s="121" t="s">
        <v>79</v>
      </c>
      <c r="L14" s="120"/>
      <c r="M14" s="153"/>
      <c r="N14" s="121" t="s">
        <v>149</v>
      </c>
      <c r="O14" s="120"/>
      <c r="P14" s="153"/>
      <c r="Q14" s="121" t="s">
        <v>150</v>
      </c>
      <c r="R14" s="120"/>
      <c r="S14" s="153"/>
      <c r="T14" s="121" t="s">
        <v>151</v>
      </c>
      <c r="U14" s="120"/>
      <c r="V14" s="153"/>
      <c r="W14" s="121" t="s">
        <v>152</v>
      </c>
      <c r="X14" s="120"/>
      <c r="Y14" s="153"/>
      <c r="Z14" s="121" t="s">
        <v>153</v>
      </c>
      <c r="AA14" s="120"/>
      <c r="AB14" s="177"/>
      <c r="AC14" s="121" t="s">
        <v>154</v>
      </c>
      <c r="AD14" s="121"/>
      <c r="AE14" s="153"/>
      <c r="AF14" s="121" t="s">
        <v>155</v>
      </c>
      <c r="AG14" s="121"/>
      <c r="AH14" s="153"/>
      <c r="AI14" s="121" t="s">
        <v>156</v>
      </c>
      <c r="AJ14" s="121"/>
      <c r="AK14" s="153"/>
      <c r="AL14" s="121" t="s">
        <v>157</v>
      </c>
      <c r="AM14" s="121"/>
      <c r="AN14" s="153"/>
      <c r="AO14" s="121" t="s">
        <v>158</v>
      </c>
      <c r="AP14" s="121"/>
      <c r="AQ14" s="121"/>
    </row>
    <row r="15" spans="1:43" x14ac:dyDescent="0.3">
      <c r="A15" s="22" t="s">
        <v>97</v>
      </c>
      <c r="B15" s="22" t="s">
        <v>98</v>
      </c>
      <c r="C15" s="22" t="s">
        <v>99</v>
      </c>
      <c r="D15" s="22" t="s">
        <v>100</v>
      </c>
      <c r="E15" s="109" t="s">
        <v>101</v>
      </c>
      <c r="F15" s="109" t="s">
        <v>102</v>
      </c>
      <c r="G15" s="109" t="s">
        <v>103</v>
      </c>
      <c r="H15" s="122" t="s">
        <v>101</v>
      </c>
      <c r="I15" s="122" t="s">
        <v>102</v>
      </c>
      <c r="J15" s="154" t="s">
        <v>103</v>
      </c>
      <c r="K15" s="146" t="s">
        <v>101</v>
      </c>
      <c r="L15" s="122" t="s">
        <v>102</v>
      </c>
      <c r="M15" s="154" t="s">
        <v>103</v>
      </c>
      <c r="N15" s="146" t="s">
        <v>101</v>
      </c>
      <c r="O15" s="122" t="s">
        <v>102</v>
      </c>
      <c r="P15" s="154" t="s">
        <v>103</v>
      </c>
      <c r="Q15" s="146" t="s">
        <v>101</v>
      </c>
      <c r="R15" s="122" t="s">
        <v>102</v>
      </c>
      <c r="S15" s="154" t="s">
        <v>103</v>
      </c>
      <c r="T15" s="146" t="s">
        <v>101</v>
      </c>
      <c r="U15" s="122" t="s">
        <v>102</v>
      </c>
      <c r="V15" s="154" t="s">
        <v>103</v>
      </c>
      <c r="W15" s="146" t="s">
        <v>101</v>
      </c>
      <c r="X15" s="122" t="s">
        <v>102</v>
      </c>
      <c r="Y15" s="154" t="s">
        <v>103</v>
      </c>
      <c r="Z15" s="146" t="s">
        <v>101</v>
      </c>
      <c r="AA15" s="122" t="s">
        <v>102</v>
      </c>
      <c r="AB15" s="178" t="s">
        <v>103</v>
      </c>
      <c r="AC15" s="146" t="s">
        <v>101</v>
      </c>
      <c r="AD15" s="123" t="s">
        <v>102</v>
      </c>
      <c r="AE15" s="154" t="s">
        <v>103</v>
      </c>
      <c r="AF15" s="146" t="s">
        <v>101</v>
      </c>
      <c r="AG15" s="123" t="s">
        <v>102</v>
      </c>
      <c r="AH15" s="154" t="s">
        <v>103</v>
      </c>
      <c r="AI15" s="146" t="s">
        <v>101</v>
      </c>
      <c r="AJ15" s="123" t="s">
        <v>102</v>
      </c>
      <c r="AK15" s="154" t="s">
        <v>103</v>
      </c>
      <c r="AL15" s="146" t="s">
        <v>101</v>
      </c>
      <c r="AM15" s="123" t="s">
        <v>102</v>
      </c>
      <c r="AN15" s="154" t="s">
        <v>103</v>
      </c>
      <c r="AO15" s="146" t="s">
        <v>101</v>
      </c>
      <c r="AP15" s="123" t="s">
        <v>102</v>
      </c>
      <c r="AQ15" s="123" t="s">
        <v>103</v>
      </c>
    </row>
    <row r="16" spans="1:43" x14ac:dyDescent="0.3">
      <c r="A16" s="23">
        <v>100</v>
      </c>
      <c r="B16" s="23" t="s">
        <v>104</v>
      </c>
      <c r="C16" s="24">
        <v>31</v>
      </c>
      <c r="D16" s="25" t="s">
        <v>15</v>
      </c>
      <c r="E16" s="110">
        <v>318787.53999999998</v>
      </c>
      <c r="F16" s="110">
        <v>318787.53999999998</v>
      </c>
      <c r="G16" s="110">
        <v>318787.53999999998</v>
      </c>
      <c r="H16" s="124">
        <v>315827.18</v>
      </c>
      <c r="I16" s="124">
        <v>315827.18</v>
      </c>
      <c r="J16" s="155">
        <v>315827.18</v>
      </c>
      <c r="K16" s="147">
        <v>325987.18</v>
      </c>
      <c r="L16" s="124">
        <v>325987.18</v>
      </c>
      <c r="M16" s="155">
        <v>325987.18</v>
      </c>
      <c r="N16" s="147">
        <v>353693.34</v>
      </c>
      <c r="O16" s="124">
        <v>353693.34</v>
      </c>
      <c r="P16" s="155">
        <v>353693.34</v>
      </c>
      <c r="Q16" s="147">
        <v>353203.34</v>
      </c>
      <c r="R16" s="124">
        <v>353203.34</v>
      </c>
      <c r="S16" s="155">
        <v>353203.34</v>
      </c>
      <c r="T16" s="147">
        <v>353003.34</v>
      </c>
      <c r="U16" s="124">
        <v>353003.34</v>
      </c>
      <c r="V16" s="155">
        <v>353003.34</v>
      </c>
      <c r="W16" s="147">
        <v>350142.09</v>
      </c>
      <c r="X16" s="124">
        <v>350142.09</v>
      </c>
      <c r="Y16" s="155">
        <v>350142.09</v>
      </c>
      <c r="Z16" s="147">
        <v>350732.09</v>
      </c>
      <c r="AA16" s="124">
        <v>350732.09</v>
      </c>
      <c r="AB16" s="179">
        <v>350732.09</v>
      </c>
      <c r="AC16" s="147">
        <v>348528.88</v>
      </c>
      <c r="AD16" s="125">
        <v>348528.88</v>
      </c>
      <c r="AE16" s="155">
        <v>348528.88</v>
      </c>
      <c r="AF16" s="147">
        <v>346954.84</v>
      </c>
      <c r="AG16" s="125">
        <v>346954.84</v>
      </c>
      <c r="AH16" s="155">
        <v>346954.84</v>
      </c>
      <c r="AI16" s="147">
        <v>353492.35</v>
      </c>
      <c r="AJ16" s="125">
        <v>353492.35</v>
      </c>
      <c r="AK16" s="155">
        <v>353492.35</v>
      </c>
      <c r="AL16" s="147">
        <v>353519.45</v>
      </c>
      <c r="AM16" s="125">
        <v>353519.45</v>
      </c>
      <c r="AN16" s="155">
        <v>353519.45</v>
      </c>
      <c r="AO16" s="147">
        <v>361783.11</v>
      </c>
      <c r="AP16" s="125">
        <v>361783.11</v>
      </c>
      <c r="AQ16" s="125">
        <v>361783.11</v>
      </c>
    </row>
    <row r="17" spans="1:43" x14ac:dyDescent="0.3">
      <c r="A17" s="23">
        <v>100</v>
      </c>
      <c r="B17" s="23" t="s">
        <v>104</v>
      </c>
      <c r="C17" s="24">
        <v>3301</v>
      </c>
      <c r="D17" s="25" t="s">
        <v>19</v>
      </c>
      <c r="E17" s="110">
        <v>73417.27</v>
      </c>
      <c r="F17" s="110">
        <v>73417.27</v>
      </c>
      <c r="G17" s="110">
        <v>73417.27</v>
      </c>
      <c r="H17" s="124">
        <v>79382.3</v>
      </c>
      <c r="I17" s="124">
        <v>79382.3</v>
      </c>
      <c r="J17" s="155">
        <v>79382.3</v>
      </c>
      <c r="K17" s="147">
        <v>81084.3</v>
      </c>
      <c r="L17" s="124">
        <v>81084.3</v>
      </c>
      <c r="M17" s="155">
        <v>81084.3</v>
      </c>
      <c r="N17" s="147">
        <v>82535.3</v>
      </c>
      <c r="O17" s="124">
        <v>82535.3</v>
      </c>
      <c r="P17" s="155">
        <v>82535.3</v>
      </c>
      <c r="Q17" s="147">
        <v>83957.3</v>
      </c>
      <c r="R17" s="124">
        <v>83957.3</v>
      </c>
      <c r="S17" s="155">
        <v>83957.3</v>
      </c>
      <c r="T17" s="147">
        <v>85853.3</v>
      </c>
      <c r="U17" s="124">
        <v>85853.3</v>
      </c>
      <c r="V17" s="155">
        <v>85853.3</v>
      </c>
      <c r="W17" s="147">
        <v>89675.3</v>
      </c>
      <c r="X17" s="124">
        <v>89675.3</v>
      </c>
      <c r="Y17" s="155">
        <v>89675.3</v>
      </c>
      <c r="Z17" s="147">
        <v>92858.8</v>
      </c>
      <c r="AA17" s="124">
        <v>92858.8</v>
      </c>
      <c r="AB17" s="179">
        <v>92858.8</v>
      </c>
      <c r="AC17" s="147">
        <v>97900.4</v>
      </c>
      <c r="AD17" s="125">
        <v>97900.4</v>
      </c>
      <c r="AE17" s="155">
        <v>97900.4</v>
      </c>
      <c r="AF17" s="147">
        <v>99002.75</v>
      </c>
      <c r="AG17" s="125">
        <v>99002.75</v>
      </c>
      <c r="AH17" s="155">
        <v>99002.75</v>
      </c>
      <c r="AI17" s="147">
        <v>99478.15</v>
      </c>
      <c r="AJ17" s="125">
        <v>99478.15</v>
      </c>
      <c r="AK17" s="155">
        <v>99478.15</v>
      </c>
      <c r="AL17" s="147">
        <v>100534.25</v>
      </c>
      <c r="AM17" s="125">
        <v>100534.25</v>
      </c>
      <c r="AN17" s="155">
        <v>100534.25</v>
      </c>
      <c r="AO17" s="147">
        <v>101490.45</v>
      </c>
      <c r="AP17" s="125">
        <v>101490.45</v>
      </c>
      <c r="AQ17" s="125">
        <v>101490.45</v>
      </c>
    </row>
    <row r="18" spans="1:43" x14ac:dyDescent="0.3">
      <c r="A18" s="23">
        <v>100</v>
      </c>
      <c r="B18" s="23" t="s">
        <v>104</v>
      </c>
      <c r="C18" s="24">
        <v>3302</v>
      </c>
      <c r="D18" s="25" t="s">
        <v>16</v>
      </c>
      <c r="E18" s="111">
        <v>0</v>
      </c>
      <c r="F18" s="111">
        <v>0</v>
      </c>
      <c r="G18" s="111">
        <v>0</v>
      </c>
      <c r="H18" s="126">
        <v>0</v>
      </c>
      <c r="I18" s="126">
        <v>0</v>
      </c>
      <c r="J18" s="156">
        <v>0</v>
      </c>
      <c r="K18" s="148">
        <v>0</v>
      </c>
      <c r="L18" s="126">
        <v>0</v>
      </c>
      <c r="M18" s="156">
        <v>0</v>
      </c>
      <c r="N18" s="148">
        <v>0</v>
      </c>
      <c r="O18" s="126">
        <v>0</v>
      </c>
      <c r="P18" s="156">
        <v>0</v>
      </c>
      <c r="Q18" s="148">
        <v>0</v>
      </c>
      <c r="R18" s="126">
        <v>0</v>
      </c>
      <c r="S18" s="156">
        <v>0</v>
      </c>
      <c r="T18" s="148">
        <v>0</v>
      </c>
      <c r="U18" s="126">
        <v>0</v>
      </c>
      <c r="V18" s="156">
        <v>0</v>
      </c>
      <c r="W18" s="148">
        <v>0</v>
      </c>
      <c r="X18" s="126">
        <v>0</v>
      </c>
      <c r="Y18" s="156">
        <v>0</v>
      </c>
      <c r="Z18" s="148">
        <v>0</v>
      </c>
      <c r="AA18" s="126">
        <v>0</v>
      </c>
      <c r="AB18" s="180">
        <v>0</v>
      </c>
      <c r="AC18" s="148">
        <v>0</v>
      </c>
      <c r="AD18" s="127">
        <v>0</v>
      </c>
      <c r="AE18" s="156">
        <v>0</v>
      </c>
      <c r="AF18" s="148">
        <v>0</v>
      </c>
      <c r="AG18" s="127">
        <v>0</v>
      </c>
      <c r="AH18" s="156">
        <v>0</v>
      </c>
      <c r="AI18" s="148">
        <v>0</v>
      </c>
      <c r="AJ18" s="127">
        <v>0</v>
      </c>
      <c r="AK18" s="156">
        <v>0</v>
      </c>
      <c r="AL18" s="148">
        <v>0</v>
      </c>
      <c r="AM18" s="127">
        <v>0</v>
      </c>
      <c r="AN18" s="156">
        <v>0</v>
      </c>
      <c r="AO18" s="148">
        <v>0</v>
      </c>
      <c r="AP18" s="127">
        <v>0</v>
      </c>
      <c r="AQ18" s="127">
        <v>0</v>
      </c>
    </row>
    <row r="19" spans="1:43" x14ac:dyDescent="0.3">
      <c r="A19" s="23">
        <v>100</v>
      </c>
      <c r="B19" s="23" t="s">
        <v>104</v>
      </c>
      <c r="C19" s="24">
        <v>3303</v>
      </c>
      <c r="D19" s="25" t="s">
        <v>17</v>
      </c>
      <c r="E19" s="110">
        <v>41866.69</v>
      </c>
      <c r="F19" s="110">
        <v>41866.69</v>
      </c>
      <c r="G19" s="110">
        <v>41866.69</v>
      </c>
      <c r="H19" s="124">
        <v>41866.69</v>
      </c>
      <c r="I19" s="124">
        <v>41866.69</v>
      </c>
      <c r="J19" s="155">
        <v>41866.69</v>
      </c>
      <c r="K19" s="147">
        <v>41866.69</v>
      </c>
      <c r="L19" s="124">
        <v>41866.69</v>
      </c>
      <c r="M19" s="155">
        <v>41866.69</v>
      </c>
      <c r="N19" s="147">
        <v>41866.69</v>
      </c>
      <c r="O19" s="124">
        <v>41866.69</v>
      </c>
      <c r="P19" s="155">
        <v>41866.69</v>
      </c>
      <c r="Q19" s="147">
        <v>41866.69</v>
      </c>
      <c r="R19" s="124">
        <v>41866.69</v>
      </c>
      <c r="S19" s="155">
        <v>41866.69</v>
      </c>
      <c r="T19" s="147">
        <v>41866.69</v>
      </c>
      <c r="U19" s="124">
        <v>41866.69</v>
      </c>
      <c r="V19" s="155">
        <v>41866.69</v>
      </c>
      <c r="W19" s="147">
        <v>41866.69</v>
      </c>
      <c r="X19" s="124">
        <v>41866.69</v>
      </c>
      <c r="Y19" s="155">
        <v>41866.69</v>
      </c>
      <c r="Z19" s="147">
        <v>41866.69</v>
      </c>
      <c r="AA19" s="124">
        <v>41866.69</v>
      </c>
      <c r="AB19" s="179">
        <v>41866.69</v>
      </c>
      <c r="AC19" s="147">
        <v>41866.69</v>
      </c>
      <c r="AD19" s="125">
        <v>41866.69</v>
      </c>
      <c r="AE19" s="155">
        <v>41866.69</v>
      </c>
      <c r="AF19" s="147">
        <v>41866.69</v>
      </c>
      <c r="AG19" s="125">
        <v>41866.69</v>
      </c>
      <c r="AH19" s="155">
        <v>41866.69</v>
      </c>
      <c r="AI19" s="147">
        <v>41866.69</v>
      </c>
      <c r="AJ19" s="125">
        <v>41866.69</v>
      </c>
      <c r="AK19" s="155">
        <v>41866.69</v>
      </c>
      <c r="AL19" s="147">
        <v>41866.69</v>
      </c>
      <c r="AM19" s="125">
        <v>41866.69</v>
      </c>
      <c r="AN19" s="155">
        <v>41866.69</v>
      </c>
      <c r="AO19" s="147">
        <v>41866.69</v>
      </c>
      <c r="AP19" s="125">
        <v>41866.69</v>
      </c>
      <c r="AQ19" s="125">
        <v>41866.69</v>
      </c>
    </row>
    <row r="20" spans="1:43" x14ac:dyDescent="0.3">
      <c r="A20" s="23">
        <v>100</v>
      </c>
      <c r="B20" s="23" t="s">
        <v>104</v>
      </c>
      <c r="C20" s="24">
        <v>34</v>
      </c>
      <c r="D20" s="25" t="s">
        <v>21</v>
      </c>
      <c r="E20" s="111">
        <v>0</v>
      </c>
      <c r="F20" s="111">
        <v>0</v>
      </c>
      <c r="G20" s="111">
        <v>0</v>
      </c>
      <c r="H20" s="126">
        <v>0</v>
      </c>
      <c r="I20" s="126">
        <v>0</v>
      </c>
      <c r="J20" s="156">
        <v>0</v>
      </c>
      <c r="K20" s="148">
        <v>0</v>
      </c>
      <c r="L20" s="126">
        <v>0</v>
      </c>
      <c r="M20" s="156">
        <v>0</v>
      </c>
      <c r="N20" s="148">
        <v>0</v>
      </c>
      <c r="O20" s="126">
        <v>0</v>
      </c>
      <c r="P20" s="156">
        <v>0</v>
      </c>
      <c r="Q20" s="148">
        <v>0</v>
      </c>
      <c r="R20" s="126">
        <v>0</v>
      </c>
      <c r="S20" s="156">
        <v>0</v>
      </c>
      <c r="T20" s="148">
        <v>0</v>
      </c>
      <c r="U20" s="126">
        <v>0</v>
      </c>
      <c r="V20" s="156">
        <v>0</v>
      </c>
      <c r="W20" s="148">
        <v>0</v>
      </c>
      <c r="X20" s="126">
        <v>0</v>
      </c>
      <c r="Y20" s="156">
        <v>0</v>
      </c>
      <c r="Z20" s="148">
        <v>0</v>
      </c>
      <c r="AA20" s="126">
        <v>0</v>
      </c>
      <c r="AB20" s="180">
        <v>0</v>
      </c>
      <c r="AC20" s="148">
        <v>0</v>
      </c>
      <c r="AD20" s="127">
        <v>0</v>
      </c>
      <c r="AE20" s="156">
        <v>0</v>
      </c>
      <c r="AF20" s="148">
        <v>0</v>
      </c>
      <c r="AG20" s="127">
        <v>0</v>
      </c>
      <c r="AH20" s="156">
        <v>0</v>
      </c>
      <c r="AI20" s="148">
        <v>0</v>
      </c>
      <c r="AJ20" s="127">
        <v>0</v>
      </c>
      <c r="AK20" s="156">
        <v>0</v>
      </c>
      <c r="AL20" s="148">
        <v>0</v>
      </c>
      <c r="AM20" s="127">
        <v>0</v>
      </c>
      <c r="AN20" s="156">
        <v>0</v>
      </c>
      <c r="AO20" s="148">
        <v>0</v>
      </c>
      <c r="AP20" s="127">
        <v>0</v>
      </c>
      <c r="AQ20" s="127">
        <v>0</v>
      </c>
    </row>
    <row r="21" spans="1:43" x14ac:dyDescent="0.3">
      <c r="A21" s="23">
        <v>100</v>
      </c>
      <c r="B21" s="23" t="s">
        <v>104</v>
      </c>
      <c r="C21" s="24">
        <v>35</v>
      </c>
      <c r="D21" s="25" t="s">
        <v>22</v>
      </c>
      <c r="E21" s="111">
        <v>0</v>
      </c>
      <c r="F21" s="111">
        <v>0</v>
      </c>
      <c r="G21" s="111">
        <v>51588.58</v>
      </c>
      <c r="H21" s="126">
        <v>0</v>
      </c>
      <c r="I21" s="126">
        <v>0</v>
      </c>
      <c r="J21" s="156">
        <v>51588.58</v>
      </c>
      <c r="K21" s="148">
        <v>0</v>
      </c>
      <c r="L21" s="126">
        <v>0</v>
      </c>
      <c r="M21" s="156">
        <v>51588.58</v>
      </c>
      <c r="N21" s="148">
        <v>0</v>
      </c>
      <c r="O21" s="126">
        <v>0</v>
      </c>
      <c r="P21" s="156">
        <v>51588.58</v>
      </c>
      <c r="Q21" s="148">
        <v>0</v>
      </c>
      <c r="R21" s="126">
        <v>0</v>
      </c>
      <c r="S21" s="156">
        <v>51588.58</v>
      </c>
      <c r="T21" s="148">
        <v>0</v>
      </c>
      <c r="U21" s="126">
        <v>0</v>
      </c>
      <c r="V21" s="156">
        <v>51588.58</v>
      </c>
      <c r="W21" s="148">
        <v>0</v>
      </c>
      <c r="X21" s="126">
        <v>0</v>
      </c>
      <c r="Y21" s="156">
        <v>51588.58</v>
      </c>
      <c r="Z21" s="148">
        <v>0</v>
      </c>
      <c r="AA21" s="126">
        <v>0</v>
      </c>
      <c r="AB21" s="180">
        <v>51588.58</v>
      </c>
      <c r="AC21" s="148">
        <v>0</v>
      </c>
      <c r="AD21" s="127">
        <v>0</v>
      </c>
      <c r="AE21" s="156">
        <v>51588.58</v>
      </c>
      <c r="AF21" s="148">
        <v>0</v>
      </c>
      <c r="AG21" s="127">
        <v>0</v>
      </c>
      <c r="AH21" s="156">
        <v>51588.58</v>
      </c>
      <c r="AI21" s="148">
        <v>0</v>
      </c>
      <c r="AJ21" s="127">
        <v>0</v>
      </c>
      <c r="AK21" s="156">
        <v>51588.58</v>
      </c>
      <c r="AL21" s="148">
        <v>0</v>
      </c>
      <c r="AM21" s="127">
        <v>0</v>
      </c>
      <c r="AN21" s="156">
        <v>51588.58</v>
      </c>
      <c r="AO21" s="148">
        <v>0</v>
      </c>
      <c r="AP21" s="127">
        <v>0</v>
      </c>
      <c r="AQ21" s="127">
        <v>51588.58</v>
      </c>
    </row>
    <row r="22" spans="1:43" x14ac:dyDescent="0.3">
      <c r="A22" s="23">
        <v>100</v>
      </c>
      <c r="B22" s="23" t="s">
        <v>104</v>
      </c>
      <c r="C22" s="24">
        <v>3601</v>
      </c>
      <c r="D22" s="25" t="s">
        <v>23</v>
      </c>
      <c r="E22" s="111">
        <v>0</v>
      </c>
      <c r="F22" s="111">
        <v>0</v>
      </c>
      <c r="G22" s="111">
        <v>0</v>
      </c>
      <c r="H22" s="126">
        <v>0</v>
      </c>
      <c r="I22" s="126">
        <v>0</v>
      </c>
      <c r="J22" s="156">
        <v>0</v>
      </c>
      <c r="K22" s="148">
        <v>0</v>
      </c>
      <c r="L22" s="126">
        <v>0</v>
      </c>
      <c r="M22" s="156">
        <v>0</v>
      </c>
      <c r="N22" s="148">
        <v>0</v>
      </c>
      <c r="O22" s="126">
        <v>0</v>
      </c>
      <c r="P22" s="156">
        <v>0</v>
      </c>
      <c r="Q22" s="148">
        <v>0</v>
      </c>
      <c r="R22" s="126">
        <v>0</v>
      </c>
      <c r="S22" s="156">
        <v>0</v>
      </c>
      <c r="T22" s="148">
        <v>0</v>
      </c>
      <c r="U22" s="126">
        <v>0</v>
      </c>
      <c r="V22" s="156">
        <v>0</v>
      </c>
      <c r="W22" s="148">
        <v>0</v>
      </c>
      <c r="X22" s="126">
        <v>0</v>
      </c>
      <c r="Y22" s="156">
        <v>0</v>
      </c>
      <c r="Z22" s="148">
        <v>0</v>
      </c>
      <c r="AA22" s="126">
        <v>0</v>
      </c>
      <c r="AB22" s="180">
        <v>0</v>
      </c>
      <c r="AC22" s="148">
        <v>0</v>
      </c>
      <c r="AD22" s="127">
        <v>0</v>
      </c>
      <c r="AE22" s="156">
        <v>0</v>
      </c>
      <c r="AF22" s="148">
        <v>0</v>
      </c>
      <c r="AG22" s="127">
        <v>0</v>
      </c>
      <c r="AH22" s="156">
        <v>0</v>
      </c>
      <c r="AI22" s="148">
        <v>0</v>
      </c>
      <c r="AJ22" s="127">
        <v>0</v>
      </c>
      <c r="AK22" s="156">
        <v>0</v>
      </c>
      <c r="AL22" s="148">
        <v>0</v>
      </c>
      <c r="AM22" s="127">
        <v>0</v>
      </c>
      <c r="AN22" s="156">
        <v>0</v>
      </c>
      <c r="AO22" s="148">
        <v>0</v>
      </c>
      <c r="AP22" s="127">
        <v>0</v>
      </c>
      <c r="AQ22" s="127">
        <v>0</v>
      </c>
    </row>
    <row r="23" spans="1:43" x14ac:dyDescent="0.3">
      <c r="A23" s="23">
        <v>100</v>
      </c>
      <c r="B23" s="23" t="s">
        <v>104</v>
      </c>
      <c r="C23" s="24">
        <v>3602</v>
      </c>
      <c r="D23" s="25" t="s">
        <v>24</v>
      </c>
      <c r="E23" s="111">
        <v>0</v>
      </c>
      <c r="F23" s="111">
        <v>0</v>
      </c>
      <c r="G23" s="111">
        <v>0</v>
      </c>
      <c r="H23" s="126">
        <v>0</v>
      </c>
      <c r="I23" s="126">
        <v>0</v>
      </c>
      <c r="J23" s="156">
        <v>0</v>
      </c>
      <c r="K23" s="148">
        <v>0</v>
      </c>
      <c r="L23" s="126">
        <v>0</v>
      </c>
      <c r="M23" s="156">
        <v>0</v>
      </c>
      <c r="N23" s="148">
        <v>0</v>
      </c>
      <c r="O23" s="126">
        <v>0</v>
      </c>
      <c r="P23" s="156">
        <v>0</v>
      </c>
      <c r="Q23" s="148">
        <v>0</v>
      </c>
      <c r="R23" s="126">
        <v>0</v>
      </c>
      <c r="S23" s="156">
        <v>0</v>
      </c>
      <c r="T23" s="148">
        <v>0</v>
      </c>
      <c r="U23" s="126">
        <v>0</v>
      </c>
      <c r="V23" s="156">
        <v>0</v>
      </c>
      <c r="W23" s="148">
        <v>0</v>
      </c>
      <c r="X23" s="126">
        <v>0</v>
      </c>
      <c r="Y23" s="156">
        <v>0</v>
      </c>
      <c r="Z23" s="148">
        <v>0</v>
      </c>
      <c r="AA23" s="126">
        <v>0</v>
      </c>
      <c r="AB23" s="180">
        <v>0</v>
      </c>
      <c r="AC23" s="148">
        <v>0</v>
      </c>
      <c r="AD23" s="127">
        <v>0</v>
      </c>
      <c r="AE23" s="156">
        <v>0</v>
      </c>
      <c r="AF23" s="148">
        <v>0</v>
      </c>
      <c r="AG23" s="127">
        <v>0</v>
      </c>
      <c r="AH23" s="156">
        <v>0</v>
      </c>
      <c r="AI23" s="148">
        <v>0</v>
      </c>
      <c r="AJ23" s="127">
        <v>0</v>
      </c>
      <c r="AK23" s="156">
        <v>0</v>
      </c>
      <c r="AL23" s="148">
        <v>0</v>
      </c>
      <c r="AM23" s="127">
        <v>0</v>
      </c>
      <c r="AN23" s="156">
        <v>0</v>
      </c>
      <c r="AO23" s="148">
        <v>0</v>
      </c>
      <c r="AP23" s="127">
        <v>0</v>
      </c>
      <c r="AQ23" s="127">
        <v>0</v>
      </c>
    </row>
    <row r="24" spans="1:43" x14ac:dyDescent="0.3">
      <c r="A24" s="23">
        <v>100</v>
      </c>
      <c r="B24" s="23" t="s">
        <v>104</v>
      </c>
      <c r="C24" s="24">
        <v>5</v>
      </c>
      <c r="D24" s="25" t="s">
        <v>27</v>
      </c>
      <c r="E24" s="110">
        <v>256702.97</v>
      </c>
      <c r="F24" s="110">
        <v>256702.97</v>
      </c>
      <c r="G24" s="110">
        <v>128351.485</v>
      </c>
      <c r="H24" s="124">
        <v>22804.87</v>
      </c>
      <c r="I24" s="124">
        <v>22804.87</v>
      </c>
      <c r="J24" s="155">
        <v>11402.434999999999</v>
      </c>
      <c r="K24" s="147">
        <v>43425.419999999984</v>
      </c>
      <c r="L24" s="124">
        <v>43425.419999999984</v>
      </c>
      <c r="M24" s="155">
        <v>21712.709999999992</v>
      </c>
      <c r="N24" s="147">
        <v>68124.299999999988</v>
      </c>
      <c r="O24" s="124">
        <v>68124.299999999988</v>
      </c>
      <c r="P24" s="155">
        <v>34062.149999999994</v>
      </c>
      <c r="Q24" s="147">
        <v>95330.36</v>
      </c>
      <c r="R24" s="124">
        <v>95330.36</v>
      </c>
      <c r="S24" s="155">
        <v>47665.18</v>
      </c>
      <c r="T24" s="147">
        <v>136352.36000000002</v>
      </c>
      <c r="U24" s="124">
        <v>136352.36000000002</v>
      </c>
      <c r="V24" s="155">
        <v>68176.180000000008</v>
      </c>
      <c r="W24" s="147">
        <v>166701.79999999996</v>
      </c>
      <c r="X24" s="124">
        <v>166701.79999999996</v>
      </c>
      <c r="Y24" s="155">
        <v>83350.89999999998</v>
      </c>
      <c r="Z24" s="147">
        <v>200329.19999999998</v>
      </c>
      <c r="AA24" s="124">
        <v>200329.19999999998</v>
      </c>
      <c r="AB24" s="179">
        <v>100164.59999999999</v>
      </c>
      <c r="AC24" s="147">
        <v>236998.31999999995</v>
      </c>
      <c r="AD24" s="125">
        <v>236998.31999999995</v>
      </c>
      <c r="AE24" s="155">
        <v>118499.15999999997</v>
      </c>
      <c r="AF24" s="147">
        <v>271011.54000000004</v>
      </c>
      <c r="AG24" s="125">
        <v>271011.54000000004</v>
      </c>
      <c r="AH24" s="155">
        <v>135505.77000000002</v>
      </c>
      <c r="AI24" s="147">
        <v>322364.65000000002</v>
      </c>
      <c r="AJ24" s="125">
        <v>322364.65000000002</v>
      </c>
      <c r="AK24" s="155">
        <v>161182.32500000001</v>
      </c>
      <c r="AL24" s="147">
        <v>361293.78</v>
      </c>
      <c r="AM24" s="125">
        <v>361293.78</v>
      </c>
      <c r="AN24" s="155">
        <v>180646.89</v>
      </c>
      <c r="AO24" s="147">
        <v>396962.71</v>
      </c>
      <c r="AP24" s="125">
        <v>396962.71</v>
      </c>
      <c r="AQ24" s="125">
        <v>198481.35500000001</v>
      </c>
    </row>
    <row r="25" spans="1:43" x14ac:dyDescent="0.3">
      <c r="A25" s="23">
        <v>100</v>
      </c>
      <c r="B25" s="23" t="s">
        <v>105</v>
      </c>
      <c r="C25" s="24">
        <v>4</v>
      </c>
      <c r="D25" s="25" t="s">
        <v>25</v>
      </c>
      <c r="E25" s="110">
        <v>247928.29</v>
      </c>
      <c r="F25" s="110">
        <v>247928.29</v>
      </c>
      <c r="G25" s="110">
        <v>123964.145</v>
      </c>
      <c r="H25" s="124">
        <v>21894.22</v>
      </c>
      <c r="I25" s="124">
        <v>21894.22</v>
      </c>
      <c r="J25" s="155">
        <v>10947.11</v>
      </c>
      <c r="K25" s="147">
        <v>41741.270000000004</v>
      </c>
      <c r="L25" s="124">
        <v>41741.270000000004</v>
      </c>
      <c r="M25" s="155">
        <v>20870.635000000002</v>
      </c>
      <c r="N25" s="147">
        <v>64856.659999999989</v>
      </c>
      <c r="O25" s="124">
        <v>64856.659999999989</v>
      </c>
      <c r="P25" s="155">
        <v>32428.329999999994</v>
      </c>
      <c r="Q25" s="147">
        <v>94063.71</v>
      </c>
      <c r="R25" s="124">
        <v>94063.71</v>
      </c>
      <c r="S25" s="155">
        <v>47031.855000000003</v>
      </c>
      <c r="T25" s="147">
        <v>135122.84</v>
      </c>
      <c r="U25" s="124">
        <v>135122.84</v>
      </c>
      <c r="V25" s="155">
        <v>67561.42</v>
      </c>
      <c r="W25" s="147">
        <v>165482.03999999998</v>
      </c>
      <c r="X25" s="124">
        <v>165482.03999999998</v>
      </c>
      <c r="Y25" s="155">
        <v>82741.01999999999</v>
      </c>
      <c r="Z25" s="147">
        <v>199050.30000000002</v>
      </c>
      <c r="AA25" s="124">
        <v>199050.30000000002</v>
      </c>
      <c r="AB25" s="179">
        <v>99525.150000000009</v>
      </c>
      <c r="AC25" s="147">
        <v>235701.28000000003</v>
      </c>
      <c r="AD25" s="125">
        <v>235701.28000000003</v>
      </c>
      <c r="AE25" s="155">
        <v>117850.64000000001</v>
      </c>
      <c r="AF25" s="147">
        <v>269292.39</v>
      </c>
      <c r="AG25" s="125">
        <v>269292.39</v>
      </c>
      <c r="AH25" s="155">
        <v>134646.19500000001</v>
      </c>
      <c r="AI25" s="147">
        <v>318441.64</v>
      </c>
      <c r="AJ25" s="125">
        <v>318441.64</v>
      </c>
      <c r="AK25" s="155">
        <v>159220.82</v>
      </c>
      <c r="AL25" s="147">
        <v>356475.83</v>
      </c>
      <c r="AM25" s="125">
        <v>356475.83</v>
      </c>
      <c r="AN25" s="155">
        <v>178237.91500000001</v>
      </c>
      <c r="AO25" s="147">
        <v>391311.6</v>
      </c>
      <c r="AP25" s="125">
        <v>391311.6</v>
      </c>
      <c r="AQ25" s="125">
        <v>195655.8</v>
      </c>
    </row>
    <row r="26" spans="1:43" x14ac:dyDescent="0.3">
      <c r="A26" s="26" t="s">
        <v>86</v>
      </c>
      <c r="B26" s="27" t="s">
        <v>86</v>
      </c>
      <c r="C26" s="28" t="s">
        <v>80</v>
      </c>
      <c r="D26" s="29" t="s">
        <v>106</v>
      </c>
      <c r="E26" s="61" t="s">
        <v>86</v>
      </c>
      <c r="F26" s="61" t="s">
        <v>86</v>
      </c>
      <c r="G26" s="61">
        <v>434071.5</v>
      </c>
      <c r="H26" s="128" t="s">
        <v>86</v>
      </c>
      <c r="I26" s="128" t="s">
        <v>86</v>
      </c>
      <c r="J26" s="157">
        <v>437076.17</v>
      </c>
      <c r="K26" s="129" t="s">
        <v>86</v>
      </c>
      <c r="L26" s="128" t="s">
        <v>86</v>
      </c>
      <c r="M26" s="157">
        <v>448938.17</v>
      </c>
      <c r="N26" s="129" t="s">
        <v>86</v>
      </c>
      <c r="O26" s="128" t="s">
        <v>86</v>
      </c>
      <c r="P26" s="157">
        <v>478095.33</v>
      </c>
      <c r="Q26" s="129" t="s">
        <v>86</v>
      </c>
      <c r="R26" s="128" t="s">
        <v>86</v>
      </c>
      <c r="S26" s="157">
        <v>479027.33</v>
      </c>
      <c r="T26" s="129" t="s">
        <v>86</v>
      </c>
      <c r="U26" s="128" t="s">
        <v>86</v>
      </c>
      <c r="V26" s="157">
        <v>480723.33</v>
      </c>
      <c r="W26" s="129" t="s">
        <v>86</v>
      </c>
      <c r="X26" s="128" t="s">
        <v>86</v>
      </c>
      <c r="Y26" s="157">
        <v>481684.08</v>
      </c>
      <c r="Z26" s="129" t="s">
        <v>86</v>
      </c>
      <c r="AA26" s="128" t="s">
        <v>86</v>
      </c>
      <c r="AB26" s="181">
        <v>485457.58</v>
      </c>
      <c r="AC26" s="129" t="s">
        <v>86</v>
      </c>
      <c r="AD26" s="129" t="s">
        <v>86</v>
      </c>
      <c r="AE26" s="157">
        <v>488295.97000000003</v>
      </c>
      <c r="AF26" s="129" t="s">
        <v>86</v>
      </c>
      <c r="AG26" s="129" t="s">
        <v>86</v>
      </c>
      <c r="AH26" s="157">
        <v>487824.28</v>
      </c>
      <c r="AI26" s="129" t="s">
        <v>86</v>
      </c>
      <c r="AJ26" s="129" t="s">
        <v>86</v>
      </c>
      <c r="AK26" s="157">
        <v>494837.19</v>
      </c>
      <c r="AL26" s="129" t="s">
        <v>86</v>
      </c>
      <c r="AM26" s="129" t="s">
        <v>86</v>
      </c>
      <c r="AN26" s="157">
        <v>495920.39</v>
      </c>
      <c r="AO26" s="129" t="s">
        <v>86</v>
      </c>
      <c r="AP26" s="129" t="s">
        <v>86</v>
      </c>
      <c r="AQ26" s="129">
        <v>505140.25</v>
      </c>
    </row>
    <row r="27" spans="1:43" ht="12" customHeight="1" x14ac:dyDescent="0.3">
      <c r="A27" s="191" t="s">
        <v>107</v>
      </c>
      <c r="B27" s="187"/>
      <c r="C27" s="187"/>
      <c r="D27" s="187"/>
      <c r="E27" s="62"/>
      <c r="F27" s="62"/>
      <c r="G27" s="62"/>
      <c r="H27" s="130"/>
      <c r="I27" s="130"/>
      <c r="J27" s="158"/>
      <c r="K27" s="130"/>
      <c r="L27" s="130"/>
      <c r="M27" s="158"/>
      <c r="N27" s="130"/>
      <c r="O27" s="130"/>
      <c r="P27" s="158"/>
      <c r="Q27" s="130"/>
      <c r="R27" s="130"/>
      <c r="S27" s="158"/>
      <c r="T27" s="130"/>
      <c r="U27" s="130"/>
      <c r="V27" s="158"/>
      <c r="W27" s="130"/>
      <c r="X27" s="130"/>
      <c r="Y27" s="158"/>
      <c r="Z27" s="130"/>
      <c r="AA27" s="130"/>
      <c r="AB27" s="158"/>
      <c r="AC27" s="130"/>
      <c r="AD27" s="130"/>
      <c r="AE27" s="158"/>
      <c r="AF27" s="130"/>
      <c r="AG27" s="130"/>
      <c r="AH27" s="158"/>
      <c r="AI27" s="130"/>
      <c r="AJ27" s="130"/>
      <c r="AK27" s="158"/>
      <c r="AL27" s="130"/>
      <c r="AM27" s="130"/>
      <c r="AN27" s="158"/>
      <c r="AO27" s="130"/>
      <c r="AP27" s="130"/>
      <c r="AQ27" s="130"/>
    </row>
    <row r="28" spans="1:43" x14ac:dyDescent="0.3">
      <c r="A28" s="22" t="s">
        <v>97</v>
      </c>
      <c r="B28" s="22" t="s">
        <v>98</v>
      </c>
      <c r="C28" s="22" t="s">
        <v>99</v>
      </c>
      <c r="D28" s="22" t="s">
        <v>100</v>
      </c>
      <c r="E28" s="109" t="s">
        <v>101</v>
      </c>
      <c r="F28" s="109" t="s">
        <v>102</v>
      </c>
      <c r="G28" s="109" t="s">
        <v>103</v>
      </c>
      <c r="H28" s="122" t="s">
        <v>101</v>
      </c>
      <c r="I28" s="122" t="s">
        <v>102</v>
      </c>
      <c r="J28" s="154" t="s">
        <v>103</v>
      </c>
      <c r="K28" s="146" t="s">
        <v>101</v>
      </c>
      <c r="L28" s="122" t="s">
        <v>102</v>
      </c>
      <c r="M28" s="154" t="s">
        <v>103</v>
      </c>
      <c r="N28" s="146" t="s">
        <v>101</v>
      </c>
      <c r="O28" s="122" t="s">
        <v>102</v>
      </c>
      <c r="P28" s="154" t="s">
        <v>103</v>
      </c>
      <c r="Q28" s="146" t="s">
        <v>101</v>
      </c>
      <c r="R28" s="122" t="s">
        <v>102</v>
      </c>
      <c r="S28" s="154" t="s">
        <v>103</v>
      </c>
      <c r="T28" s="146" t="s">
        <v>101</v>
      </c>
      <c r="U28" s="122" t="s">
        <v>102</v>
      </c>
      <c r="V28" s="154" t="s">
        <v>103</v>
      </c>
      <c r="W28" s="146" t="s">
        <v>101</v>
      </c>
      <c r="X28" s="122" t="s">
        <v>102</v>
      </c>
      <c r="Y28" s="154" t="s">
        <v>103</v>
      </c>
      <c r="Z28" s="146" t="s">
        <v>101</v>
      </c>
      <c r="AA28" s="122" t="s">
        <v>102</v>
      </c>
      <c r="AB28" s="178" t="s">
        <v>103</v>
      </c>
      <c r="AC28" s="146" t="s">
        <v>101</v>
      </c>
      <c r="AD28" s="123" t="s">
        <v>102</v>
      </c>
      <c r="AE28" s="154" t="s">
        <v>103</v>
      </c>
      <c r="AF28" s="146" t="s">
        <v>101</v>
      </c>
      <c r="AG28" s="123" t="s">
        <v>102</v>
      </c>
      <c r="AH28" s="154" t="s">
        <v>103</v>
      </c>
      <c r="AI28" s="146" t="s">
        <v>101</v>
      </c>
      <c r="AJ28" s="123" t="s">
        <v>102</v>
      </c>
      <c r="AK28" s="154" t="s">
        <v>103</v>
      </c>
      <c r="AL28" s="146" t="s">
        <v>101</v>
      </c>
      <c r="AM28" s="123" t="s">
        <v>102</v>
      </c>
      <c r="AN28" s="154" t="s">
        <v>103</v>
      </c>
      <c r="AO28" s="146" t="s">
        <v>101</v>
      </c>
      <c r="AP28" s="123" t="s">
        <v>102</v>
      </c>
      <c r="AQ28" s="123" t="s">
        <v>103</v>
      </c>
    </row>
    <row r="29" spans="1:43" x14ac:dyDescent="0.3">
      <c r="A29" s="23">
        <v>50</v>
      </c>
      <c r="B29" s="23" t="s">
        <v>104</v>
      </c>
      <c r="C29" s="24">
        <v>3305</v>
      </c>
      <c r="D29" s="25" t="s">
        <v>18</v>
      </c>
      <c r="E29" s="112">
        <v>0</v>
      </c>
      <c r="F29" s="112">
        <v>0</v>
      </c>
      <c r="G29" s="112">
        <v>0</v>
      </c>
      <c r="H29" s="131">
        <v>0</v>
      </c>
      <c r="I29" s="131">
        <v>0</v>
      </c>
      <c r="J29" s="159">
        <v>0</v>
      </c>
      <c r="K29" s="149">
        <v>0</v>
      </c>
      <c r="L29" s="131">
        <v>0</v>
      </c>
      <c r="M29" s="159">
        <v>0</v>
      </c>
      <c r="N29" s="149">
        <v>0</v>
      </c>
      <c r="O29" s="131">
        <v>0</v>
      </c>
      <c r="P29" s="159">
        <v>0</v>
      </c>
      <c r="Q29" s="149">
        <v>0</v>
      </c>
      <c r="R29" s="131">
        <v>0</v>
      </c>
      <c r="S29" s="159">
        <v>0</v>
      </c>
      <c r="T29" s="149">
        <v>0</v>
      </c>
      <c r="U29" s="131">
        <v>0</v>
      </c>
      <c r="V29" s="159">
        <v>0</v>
      </c>
      <c r="W29" s="149">
        <v>0</v>
      </c>
      <c r="X29" s="131">
        <v>0</v>
      </c>
      <c r="Y29" s="159">
        <v>0</v>
      </c>
      <c r="Z29" s="149">
        <v>0</v>
      </c>
      <c r="AA29" s="131">
        <v>0</v>
      </c>
      <c r="AB29" s="182">
        <v>0</v>
      </c>
      <c r="AC29" s="149">
        <v>0</v>
      </c>
      <c r="AD29" s="132">
        <v>0</v>
      </c>
      <c r="AE29" s="159">
        <v>0</v>
      </c>
      <c r="AF29" s="149">
        <v>0</v>
      </c>
      <c r="AG29" s="132">
        <v>0</v>
      </c>
      <c r="AH29" s="159">
        <v>0</v>
      </c>
      <c r="AI29" s="149">
        <v>0</v>
      </c>
      <c r="AJ29" s="132">
        <v>0</v>
      </c>
      <c r="AK29" s="159">
        <v>0</v>
      </c>
      <c r="AL29" s="149">
        <v>0</v>
      </c>
      <c r="AM29" s="132">
        <v>0</v>
      </c>
      <c r="AN29" s="159">
        <v>0</v>
      </c>
      <c r="AO29" s="149">
        <v>0</v>
      </c>
      <c r="AP29" s="132">
        <v>0</v>
      </c>
      <c r="AQ29" s="132">
        <v>0</v>
      </c>
    </row>
    <row r="30" spans="1:43" x14ac:dyDescent="0.3">
      <c r="A30" s="23">
        <v>50</v>
      </c>
      <c r="B30" s="23" t="s">
        <v>104</v>
      </c>
      <c r="C30" s="24">
        <v>3310</v>
      </c>
      <c r="D30" s="25" t="s">
        <v>20</v>
      </c>
      <c r="E30" s="112">
        <v>0</v>
      </c>
      <c r="F30" s="112">
        <v>0</v>
      </c>
      <c r="G30" s="112">
        <v>0</v>
      </c>
      <c r="H30" s="131">
        <v>0</v>
      </c>
      <c r="I30" s="131">
        <v>0</v>
      </c>
      <c r="J30" s="159">
        <v>0</v>
      </c>
      <c r="K30" s="149">
        <v>0</v>
      </c>
      <c r="L30" s="131">
        <v>0</v>
      </c>
      <c r="M30" s="159">
        <v>0</v>
      </c>
      <c r="N30" s="149">
        <v>0</v>
      </c>
      <c r="O30" s="131">
        <v>0</v>
      </c>
      <c r="P30" s="159">
        <v>0</v>
      </c>
      <c r="Q30" s="149">
        <v>0</v>
      </c>
      <c r="R30" s="131">
        <v>0</v>
      </c>
      <c r="S30" s="159">
        <v>0</v>
      </c>
      <c r="T30" s="149">
        <v>0</v>
      </c>
      <c r="U30" s="131">
        <v>0</v>
      </c>
      <c r="V30" s="159">
        <v>0</v>
      </c>
      <c r="W30" s="149">
        <v>0</v>
      </c>
      <c r="X30" s="131">
        <v>0</v>
      </c>
      <c r="Y30" s="159">
        <v>0</v>
      </c>
      <c r="Z30" s="149">
        <v>0</v>
      </c>
      <c r="AA30" s="131">
        <v>0</v>
      </c>
      <c r="AB30" s="182">
        <v>0</v>
      </c>
      <c r="AC30" s="149">
        <v>0</v>
      </c>
      <c r="AD30" s="132">
        <v>0</v>
      </c>
      <c r="AE30" s="159">
        <v>0</v>
      </c>
      <c r="AF30" s="149">
        <v>0</v>
      </c>
      <c r="AG30" s="132">
        <v>0</v>
      </c>
      <c r="AH30" s="159">
        <v>0</v>
      </c>
      <c r="AI30" s="149">
        <v>0</v>
      </c>
      <c r="AJ30" s="132">
        <v>0</v>
      </c>
      <c r="AK30" s="159">
        <v>0</v>
      </c>
      <c r="AL30" s="149">
        <v>0</v>
      </c>
      <c r="AM30" s="132">
        <v>0</v>
      </c>
      <c r="AN30" s="159">
        <v>0</v>
      </c>
      <c r="AO30" s="149">
        <v>0</v>
      </c>
      <c r="AP30" s="132">
        <v>0</v>
      </c>
      <c r="AQ30" s="132">
        <v>0</v>
      </c>
    </row>
    <row r="31" spans="1:43" x14ac:dyDescent="0.3">
      <c r="A31" s="23"/>
      <c r="B31" s="23"/>
      <c r="C31" s="24">
        <v>3501</v>
      </c>
      <c r="D31" s="25" t="s">
        <v>22</v>
      </c>
      <c r="E31" s="112">
        <v>51588.58</v>
      </c>
      <c r="F31" s="112">
        <v>0</v>
      </c>
      <c r="G31" s="112">
        <v>23214.861000000001</v>
      </c>
      <c r="H31" s="131">
        <v>51588.58</v>
      </c>
      <c r="I31" s="131">
        <v>0</v>
      </c>
      <c r="J31" s="159">
        <v>23214.861000000001</v>
      </c>
      <c r="K31" s="149">
        <v>51588.58</v>
      </c>
      <c r="L31" s="131">
        <v>0</v>
      </c>
      <c r="M31" s="159">
        <v>23214.861000000001</v>
      </c>
      <c r="N31" s="149">
        <v>51588.58</v>
      </c>
      <c r="O31" s="131">
        <v>0</v>
      </c>
      <c r="P31" s="159">
        <v>23214.861000000001</v>
      </c>
      <c r="Q31" s="149">
        <v>51588.58</v>
      </c>
      <c r="R31" s="131">
        <v>0</v>
      </c>
      <c r="S31" s="159">
        <v>23214.861000000001</v>
      </c>
      <c r="T31" s="149">
        <v>51588.58</v>
      </c>
      <c r="U31" s="131">
        <v>0</v>
      </c>
      <c r="V31" s="159">
        <v>23214.861000000001</v>
      </c>
      <c r="W31" s="149">
        <v>51588.58</v>
      </c>
      <c r="X31" s="131">
        <v>0</v>
      </c>
      <c r="Y31" s="159">
        <v>23214.861000000001</v>
      </c>
      <c r="Z31" s="149">
        <v>51588.58</v>
      </c>
      <c r="AA31" s="131">
        <v>0</v>
      </c>
      <c r="AB31" s="182">
        <v>23214.861000000001</v>
      </c>
      <c r="AC31" s="149">
        <v>51588.58</v>
      </c>
      <c r="AD31" s="132">
        <v>0</v>
      </c>
      <c r="AE31" s="159">
        <v>23214.861000000001</v>
      </c>
      <c r="AF31" s="149">
        <v>51588.58</v>
      </c>
      <c r="AG31" s="132">
        <v>0</v>
      </c>
      <c r="AH31" s="159">
        <v>23214.861000000001</v>
      </c>
      <c r="AI31" s="149">
        <v>51588.58</v>
      </c>
      <c r="AJ31" s="132">
        <v>0</v>
      </c>
      <c r="AK31" s="159">
        <v>23214.861000000001</v>
      </c>
      <c r="AL31" s="149">
        <v>51588.58</v>
      </c>
      <c r="AM31" s="132">
        <v>0</v>
      </c>
      <c r="AN31" s="159">
        <v>23214.861000000001</v>
      </c>
      <c r="AO31" s="149">
        <v>51588.58</v>
      </c>
      <c r="AP31" s="132">
        <v>0</v>
      </c>
      <c r="AQ31" s="132">
        <v>23214.861000000001</v>
      </c>
    </row>
    <row r="32" spans="1:43" x14ac:dyDescent="0.3">
      <c r="A32" s="23">
        <v>100</v>
      </c>
      <c r="B32" s="23" t="s">
        <v>104</v>
      </c>
      <c r="C32" s="24">
        <v>149980</v>
      </c>
      <c r="D32" s="25" t="s">
        <v>8</v>
      </c>
      <c r="E32" s="112">
        <v>0</v>
      </c>
      <c r="F32" s="112">
        <v>0</v>
      </c>
      <c r="G32" s="112">
        <v>0</v>
      </c>
      <c r="H32" s="131">
        <v>0</v>
      </c>
      <c r="I32" s="131">
        <v>0</v>
      </c>
      <c r="J32" s="159">
        <v>0</v>
      </c>
      <c r="K32" s="149">
        <v>0</v>
      </c>
      <c r="L32" s="131">
        <v>0</v>
      </c>
      <c r="M32" s="159">
        <v>0</v>
      </c>
      <c r="N32" s="149">
        <v>0</v>
      </c>
      <c r="O32" s="131">
        <v>0</v>
      </c>
      <c r="P32" s="159">
        <v>0</v>
      </c>
      <c r="Q32" s="149">
        <v>0</v>
      </c>
      <c r="R32" s="131">
        <v>0</v>
      </c>
      <c r="S32" s="159">
        <v>0</v>
      </c>
      <c r="T32" s="149">
        <v>0</v>
      </c>
      <c r="U32" s="131">
        <v>0</v>
      </c>
      <c r="V32" s="159">
        <v>0</v>
      </c>
      <c r="W32" s="149">
        <v>0</v>
      </c>
      <c r="X32" s="131">
        <v>0</v>
      </c>
      <c r="Y32" s="159">
        <v>0</v>
      </c>
      <c r="Z32" s="149">
        <v>0</v>
      </c>
      <c r="AA32" s="131">
        <v>0</v>
      </c>
      <c r="AB32" s="182">
        <v>0</v>
      </c>
      <c r="AC32" s="149">
        <v>0</v>
      </c>
      <c r="AD32" s="132">
        <v>0</v>
      </c>
      <c r="AE32" s="159">
        <v>0</v>
      </c>
      <c r="AF32" s="149">
        <v>0</v>
      </c>
      <c r="AG32" s="132">
        <v>0</v>
      </c>
      <c r="AH32" s="159">
        <v>0</v>
      </c>
      <c r="AI32" s="149">
        <v>0</v>
      </c>
      <c r="AJ32" s="132">
        <v>0</v>
      </c>
      <c r="AK32" s="159">
        <v>0</v>
      </c>
      <c r="AL32" s="149">
        <v>0</v>
      </c>
      <c r="AM32" s="132">
        <v>0</v>
      </c>
      <c r="AN32" s="159">
        <v>0</v>
      </c>
      <c r="AO32" s="149">
        <v>0</v>
      </c>
      <c r="AP32" s="132">
        <v>0</v>
      </c>
      <c r="AQ32" s="132">
        <v>0</v>
      </c>
    </row>
    <row r="33" spans="1:43" x14ac:dyDescent="0.3">
      <c r="A33" s="23">
        <v>100</v>
      </c>
      <c r="B33" s="23" t="s">
        <v>104</v>
      </c>
      <c r="C33" s="24">
        <v>149989</v>
      </c>
      <c r="D33" s="25" t="s">
        <v>9</v>
      </c>
      <c r="E33" s="112">
        <v>0</v>
      </c>
      <c r="F33" s="112">
        <v>0</v>
      </c>
      <c r="G33" s="112">
        <v>0</v>
      </c>
      <c r="H33" s="131">
        <v>0</v>
      </c>
      <c r="I33" s="131">
        <v>0</v>
      </c>
      <c r="J33" s="159">
        <v>0</v>
      </c>
      <c r="K33" s="149">
        <v>0</v>
      </c>
      <c r="L33" s="131">
        <v>0</v>
      </c>
      <c r="M33" s="159">
        <v>0</v>
      </c>
      <c r="N33" s="149">
        <v>0</v>
      </c>
      <c r="O33" s="131">
        <v>0</v>
      </c>
      <c r="P33" s="159">
        <v>0</v>
      </c>
      <c r="Q33" s="149">
        <v>0</v>
      </c>
      <c r="R33" s="131">
        <v>0</v>
      </c>
      <c r="S33" s="159">
        <v>0</v>
      </c>
      <c r="T33" s="149">
        <v>0</v>
      </c>
      <c r="U33" s="131">
        <v>0</v>
      </c>
      <c r="V33" s="159">
        <v>0</v>
      </c>
      <c r="W33" s="149">
        <v>0</v>
      </c>
      <c r="X33" s="131">
        <v>0</v>
      </c>
      <c r="Y33" s="159">
        <v>0</v>
      </c>
      <c r="Z33" s="149">
        <v>0</v>
      </c>
      <c r="AA33" s="131">
        <v>0</v>
      </c>
      <c r="AB33" s="182">
        <v>0</v>
      </c>
      <c r="AC33" s="149">
        <v>0</v>
      </c>
      <c r="AD33" s="132">
        <v>0</v>
      </c>
      <c r="AE33" s="159">
        <v>0</v>
      </c>
      <c r="AF33" s="149">
        <v>0</v>
      </c>
      <c r="AG33" s="132">
        <v>0</v>
      </c>
      <c r="AH33" s="159">
        <v>0</v>
      </c>
      <c r="AI33" s="149">
        <v>0</v>
      </c>
      <c r="AJ33" s="132">
        <v>0</v>
      </c>
      <c r="AK33" s="159">
        <v>0</v>
      </c>
      <c r="AL33" s="149">
        <v>0</v>
      </c>
      <c r="AM33" s="132">
        <v>0</v>
      </c>
      <c r="AN33" s="159">
        <v>0</v>
      </c>
      <c r="AO33" s="149">
        <v>0</v>
      </c>
      <c r="AP33" s="132">
        <v>0</v>
      </c>
      <c r="AQ33" s="132">
        <v>0</v>
      </c>
    </row>
    <row r="34" spans="1:43" x14ac:dyDescent="0.3">
      <c r="A34" s="23"/>
      <c r="B34" s="23"/>
      <c r="C34" s="24"/>
      <c r="D34" s="25" t="s">
        <v>159</v>
      </c>
      <c r="E34" s="112">
        <v>8774.679999999993</v>
      </c>
      <c r="F34" s="112">
        <v>0</v>
      </c>
      <c r="G34" s="112">
        <v>4387.3399999999965</v>
      </c>
      <c r="H34" s="131">
        <v>910.64999999999782</v>
      </c>
      <c r="I34" s="131">
        <v>0</v>
      </c>
      <c r="J34" s="159">
        <v>455.32499999999891</v>
      </c>
      <c r="K34" s="149">
        <v>1684.1499999999796</v>
      </c>
      <c r="L34" s="131">
        <v>0</v>
      </c>
      <c r="M34" s="159">
        <v>842.07499999998981</v>
      </c>
      <c r="N34" s="149">
        <v>3267.6399999999994</v>
      </c>
      <c r="O34" s="131">
        <v>0</v>
      </c>
      <c r="P34" s="159">
        <v>1633.8199999999997</v>
      </c>
      <c r="Q34" s="149">
        <v>1266.6499999999942</v>
      </c>
      <c r="R34" s="131">
        <v>0</v>
      </c>
      <c r="S34" s="159">
        <v>633.32499999999709</v>
      </c>
      <c r="T34" s="149">
        <v>1229.5200000000186</v>
      </c>
      <c r="U34" s="131">
        <v>0</v>
      </c>
      <c r="V34" s="159">
        <v>614.76000000000931</v>
      </c>
      <c r="W34" s="149">
        <v>1219.7599999999802</v>
      </c>
      <c r="X34" s="131">
        <v>0</v>
      </c>
      <c r="Y34" s="159">
        <v>609.8799999999901</v>
      </c>
      <c r="Z34" s="149">
        <v>1278.8999999999651</v>
      </c>
      <c r="AA34" s="131">
        <v>0</v>
      </c>
      <c r="AB34" s="182">
        <v>639.44999999998254</v>
      </c>
      <c r="AC34" s="149">
        <v>1297.0399999999208</v>
      </c>
      <c r="AD34" s="132">
        <v>0</v>
      </c>
      <c r="AE34" s="159">
        <v>648.51999999996042</v>
      </c>
      <c r="AF34" s="149">
        <v>1719.1500000000233</v>
      </c>
      <c r="AG34" s="132">
        <v>0</v>
      </c>
      <c r="AH34" s="159">
        <v>859.57500000001164</v>
      </c>
      <c r="AI34" s="149">
        <v>3923.0100000000093</v>
      </c>
      <c r="AJ34" s="132">
        <v>0</v>
      </c>
      <c r="AK34" s="159">
        <v>1961.5050000000047</v>
      </c>
      <c r="AL34" s="149">
        <v>4817.9500000000116</v>
      </c>
      <c r="AM34" s="132">
        <v>0</v>
      </c>
      <c r="AN34" s="159">
        <v>2408.9750000000058</v>
      </c>
      <c r="AO34" s="149">
        <v>5651.1100000000442</v>
      </c>
      <c r="AP34" s="132">
        <v>0</v>
      </c>
      <c r="AQ34" s="132">
        <v>2825.5550000000221</v>
      </c>
    </row>
    <row r="35" spans="1:43" x14ac:dyDescent="0.3">
      <c r="A35" s="23">
        <v>100</v>
      </c>
      <c r="B35" s="23" t="s">
        <v>104</v>
      </c>
      <c r="C35" s="1" t="s">
        <v>86</v>
      </c>
      <c r="D35" s="25" t="s">
        <v>108</v>
      </c>
      <c r="E35" s="110">
        <v>0</v>
      </c>
      <c r="F35" s="110">
        <v>0</v>
      </c>
      <c r="G35" s="110">
        <v>0</v>
      </c>
      <c r="H35" s="124">
        <v>0</v>
      </c>
      <c r="I35" s="124">
        <v>0</v>
      </c>
      <c r="J35" s="155">
        <v>0</v>
      </c>
      <c r="K35" s="147">
        <v>0</v>
      </c>
      <c r="L35" s="124">
        <v>0</v>
      </c>
      <c r="M35" s="155">
        <v>0</v>
      </c>
      <c r="N35" s="147">
        <v>0</v>
      </c>
      <c r="O35" s="124">
        <v>0</v>
      </c>
      <c r="P35" s="155">
        <v>0</v>
      </c>
      <c r="Q35" s="147">
        <v>0</v>
      </c>
      <c r="R35" s="124">
        <v>0</v>
      </c>
      <c r="S35" s="155">
        <v>0</v>
      </c>
      <c r="T35" s="147">
        <v>0</v>
      </c>
      <c r="U35" s="124">
        <v>0</v>
      </c>
      <c r="V35" s="155">
        <v>0</v>
      </c>
      <c r="W35" s="147">
        <v>0</v>
      </c>
      <c r="X35" s="124">
        <v>0</v>
      </c>
      <c r="Y35" s="155">
        <v>0</v>
      </c>
      <c r="Z35" s="147">
        <v>0</v>
      </c>
      <c r="AA35" s="124">
        <v>0</v>
      </c>
      <c r="AB35" s="179">
        <v>0</v>
      </c>
      <c r="AC35" s="147">
        <v>0</v>
      </c>
      <c r="AD35" s="125">
        <v>0</v>
      </c>
      <c r="AE35" s="155">
        <v>0</v>
      </c>
      <c r="AF35" s="147">
        <v>0</v>
      </c>
      <c r="AG35" s="125">
        <v>0</v>
      </c>
      <c r="AH35" s="155">
        <v>0</v>
      </c>
      <c r="AI35" s="147">
        <v>0</v>
      </c>
      <c r="AJ35" s="125">
        <v>0</v>
      </c>
      <c r="AK35" s="155">
        <v>0</v>
      </c>
      <c r="AL35" s="147">
        <v>0</v>
      </c>
      <c r="AM35" s="125">
        <v>0</v>
      </c>
      <c r="AN35" s="155">
        <v>0</v>
      </c>
      <c r="AO35" s="147">
        <v>0</v>
      </c>
      <c r="AP35" s="125">
        <v>0</v>
      </c>
      <c r="AQ35" s="125">
        <v>0</v>
      </c>
    </row>
    <row r="36" spans="1:43" x14ac:dyDescent="0.3">
      <c r="A36" s="23">
        <v>100</v>
      </c>
      <c r="B36" s="23" t="s">
        <v>105</v>
      </c>
      <c r="C36" s="30" t="s">
        <v>86</v>
      </c>
      <c r="D36" s="25" t="s">
        <v>109</v>
      </c>
      <c r="E36" s="111"/>
      <c r="F36" s="111">
        <v>0</v>
      </c>
      <c r="G36" s="111">
        <v>0</v>
      </c>
      <c r="H36" s="126"/>
      <c r="I36" s="126">
        <v>0</v>
      </c>
      <c r="J36" s="156">
        <v>0</v>
      </c>
      <c r="K36" s="148"/>
      <c r="L36" s="126">
        <v>0</v>
      </c>
      <c r="M36" s="156">
        <v>0</v>
      </c>
      <c r="N36" s="148"/>
      <c r="O36" s="126">
        <v>0</v>
      </c>
      <c r="P36" s="156">
        <v>0</v>
      </c>
      <c r="Q36" s="148"/>
      <c r="R36" s="126">
        <v>0</v>
      </c>
      <c r="S36" s="156">
        <v>0</v>
      </c>
      <c r="T36" s="148"/>
      <c r="U36" s="126">
        <v>0</v>
      </c>
      <c r="V36" s="156">
        <v>0</v>
      </c>
      <c r="W36" s="148"/>
      <c r="X36" s="126">
        <v>0</v>
      </c>
      <c r="Y36" s="156">
        <v>0</v>
      </c>
      <c r="Z36" s="148"/>
      <c r="AA36" s="126">
        <v>0</v>
      </c>
      <c r="AB36" s="180">
        <v>0</v>
      </c>
      <c r="AC36" s="148"/>
      <c r="AD36" s="127">
        <v>0</v>
      </c>
      <c r="AE36" s="156">
        <v>0</v>
      </c>
      <c r="AF36" s="148"/>
      <c r="AG36" s="127">
        <v>0</v>
      </c>
      <c r="AH36" s="156">
        <v>0</v>
      </c>
      <c r="AI36" s="148"/>
      <c r="AJ36" s="127">
        <v>0</v>
      </c>
      <c r="AK36" s="156">
        <v>0</v>
      </c>
      <c r="AL36" s="148"/>
      <c r="AM36" s="127">
        <v>0</v>
      </c>
      <c r="AN36" s="156">
        <v>0</v>
      </c>
      <c r="AO36" s="148"/>
      <c r="AP36" s="127">
        <v>0</v>
      </c>
      <c r="AQ36" s="127">
        <v>0</v>
      </c>
    </row>
    <row r="37" spans="1:43" x14ac:dyDescent="0.3">
      <c r="A37" s="23">
        <v>100</v>
      </c>
      <c r="B37" s="23" t="s">
        <v>105</v>
      </c>
      <c r="C37" s="1" t="s">
        <v>86</v>
      </c>
      <c r="D37" s="25" t="s">
        <v>110</v>
      </c>
      <c r="E37" s="110"/>
      <c r="F37" s="110">
        <v>0</v>
      </c>
      <c r="G37" s="110">
        <v>0</v>
      </c>
      <c r="H37" s="124"/>
      <c r="I37" s="124">
        <v>0</v>
      </c>
      <c r="J37" s="155">
        <v>0</v>
      </c>
      <c r="K37" s="147"/>
      <c r="L37" s="124">
        <v>0</v>
      </c>
      <c r="M37" s="155">
        <v>0</v>
      </c>
      <c r="N37" s="147"/>
      <c r="O37" s="124">
        <v>0</v>
      </c>
      <c r="P37" s="155">
        <v>0</v>
      </c>
      <c r="Q37" s="147"/>
      <c r="R37" s="124">
        <v>0</v>
      </c>
      <c r="S37" s="155">
        <v>0</v>
      </c>
      <c r="T37" s="147"/>
      <c r="U37" s="124">
        <v>0</v>
      </c>
      <c r="V37" s="155">
        <v>0</v>
      </c>
      <c r="W37" s="147"/>
      <c r="X37" s="124">
        <v>0</v>
      </c>
      <c r="Y37" s="155">
        <v>0</v>
      </c>
      <c r="Z37" s="147"/>
      <c r="AA37" s="124">
        <v>0</v>
      </c>
      <c r="AB37" s="179">
        <v>0</v>
      </c>
      <c r="AC37" s="147"/>
      <c r="AD37" s="125">
        <v>0</v>
      </c>
      <c r="AE37" s="155">
        <v>0</v>
      </c>
      <c r="AF37" s="147"/>
      <c r="AG37" s="125">
        <v>0</v>
      </c>
      <c r="AH37" s="155">
        <v>0</v>
      </c>
      <c r="AI37" s="147"/>
      <c r="AJ37" s="125">
        <v>0</v>
      </c>
      <c r="AK37" s="155">
        <v>0</v>
      </c>
      <c r="AL37" s="147"/>
      <c r="AM37" s="125">
        <v>0</v>
      </c>
      <c r="AN37" s="155">
        <v>0</v>
      </c>
      <c r="AO37" s="147"/>
      <c r="AP37" s="125">
        <v>0</v>
      </c>
      <c r="AQ37" s="125">
        <v>0</v>
      </c>
    </row>
    <row r="38" spans="1:43" x14ac:dyDescent="0.3">
      <c r="A38" s="23">
        <v>100</v>
      </c>
      <c r="B38" s="23" t="s">
        <v>105</v>
      </c>
      <c r="C38" s="30" t="s">
        <v>86</v>
      </c>
      <c r="D38" s="25" t="s">
        <v>111</v>
      </c>
      <c r="E38" s="110"/>
      <c r="F38" s="110">
        <v>0</v>
      </c>
      <c r="G38" s="110">
        <v>0</v>
      </c>
      <c r="H38" s="124"/>
      <c r="I38" s="124">
        <v>0</v>
      </c>
      <c r="J38" s="155">
        <v>0</v>
      </c>
      <c r="K38" s="147"/>
      <c r="L38" s="124">
        <v>0</v>
      </c>
      <c r="M38" s="155">
        <v>0</v>
      </c>
      <c r="N38" s="147"/>
      <c r="O38" s="124">
        <v>0</v>
      </c>
      <c r="P38" s="155">
        <v>0</v>
      </c>
      <c r="Q38" s="147"/>
      <c r="R38" s="124">
        <v>0</v>
      </c>
      <c r="S38" s="155">
        <v>0</v>
      </c>
      <c r="T38" s="147"/>
      <c r="U38" s="124">
        <v>0</v>
      </c>
      <c r="V38" s="155">
        <v>0</v>
      </c>
      <c r="W38" s="147"/>
      <c r="X38" s="124">
        <v>0</v>
      </c>
      <c r="Y38" s="155">
        <v>0</v>
      </c>
      <c r="Z38" s="147"/>
      <c r="AA38" s="124">
        <v>0</v>
      </c>
      <c r="AB38" s="179">
        <v>0</v>
      </c>
      <c r="AC38" s="147"/>
      <c r="AD38" s="125">
        <v>0</v>
      </c>
      <c r="AE38" s="155">
        <v>0</v>
      </c>
      <c r="AF38" s="147"/>
      <c r="AG38" s="125">
        <v>0</v>
      </c>
      <c r="AH38" s="155">
        <v>0</v>
      </c>
      <c r="AI38" s="147"/>
      <c r="AJ38" s="125">
        <v>0</v>
      </c>
      <c r="AK38" s="155">
        <v>0</v>
      </c>
      <c r="AL38" s="147"/>
      <c r="AM38" s="125">
        <v>0</v>
      </c>
      <c r="AN38" s="155">
        <v>0</v>
      </c>
      <c r="AO38" s="147"/>
      <c r="AP38" s="125">
        <v>0</v>
      </c>
      <c r="AQ38" s="125">
        <v>0</v>
      </c>
    </row>
    <row r="39" spans="1:43" x14ac:dyDescent="0.3">
      <c r="A39" s="23">
        <v>100</v>
      </c>
      <c r="B39" s="31" t="s">
        <v>105</v>
      </c>
      <c r="C39" s="8" t="s">
        <v>86</v>
      </c>
      <c r="D39" s="25" t="s">
        <v>112</v>
      </c>
      <c r="E39" s="63">
        <v>0</v>
      </c>
      <c r="F39" s="63">
        <v>0</v>
      </c>
      <c r="G39" s="63">
        <v>0</v>
      </c>
      <c r="H39" s="133">
        <v>0</v>
      </c>
      <c r="I39" s="133">
        <v>0</v>
      </c>
      <c r="J39" s="160">
        <v>0</v>
      </c>
      <c r="K39" s="150">
        <v>0</v>
      </c>
      <c r="L39" s="133">
        <v>0</v>
      </c>
      <c r="M39" s="160">
        <v>0</v>
      </c>
      <c r="N39" s="150">
        <v>0</v>
      </c>
      <c r="O39" s="133">
        <v>0</v>
      </c>
      <c r="P39" s="160">
        <v>0</v>
      </c>
      <c r="Q39" s="150">
        <v>0</v>
      </c>
      <c r="R39" s="133">
        <v>0</v>
      </c>
      <c r="S39" s="160">
        <v>0</v>
      </c>
      <c r="T39" s="150">
        <v>0</v>
      </c>
      <c r="U39" s="133">
        <v>0</v>
      </c>
      <c r="V39" s="160">
        <v>0</v>
      </c>
      <c r="W39" s="150">
        <v>0</v>
      </c>
      <c r="X39" s="133">
        <v>0</v>
      </c>
      <c r="Y39" s="160">
        <v>0</v>
      </c>
      <c r="Z39" s="150">
        <v>0</v>
      </c>
      <c r="AA39" s="133">
        <v>0</v>
      </c>
      <c r="AB39" s="180">
        <v>0</v>
      </c>
      <c r="AC39" s="150">
        <v>0</v>
      </c>
      <c r="AD39" s="134">
        <v>0</v>
      </c>
      <c r="AE39" s="160">
        <v>0</v>
      </c>
      <c r="AF39" s="150">
        <v>0</v>
      </c>
      <c r="AG39" s="134">
        <v>0</v>
      </c>
      <c r="AH39" s="160">
        <v>0</v>
      </c>
      <c r="AI39" s="150">
        <v>0</v>
      </c>
      <c r="AJ39" s="134">
        <v>0</v>
      </c>
      <c r="AK39" s="160">
        <v>0</v>
      </c>
      <c r="AL39" s="150">
        <v>0</v>
      </c>
      <c r="AM39" s="134">
        <v>0</v>
      </c>
      <c r="AN39" s="160">
        <v>0</v>
      </c>
      <c r="AO39" s="150">
        <v>0</v>
      </c>
      <c r="AP39" s="134">
        <v>0</v>
      </c>
      <c r="AQ39" s="134">
        <v>0</v>
      </c>
    </row>
    <row r="40" spans="1:43" x14ac:dyDescent="0.3">
      <c r="A40" s="31">
        <v>100</v>
      </c>
      <c r="B40" s="31" t="s">
        <v>105</v>
      </c>
      <c r="C40" s="30" t="s">
        <v>86</v>
      </c>
      <c r="D40" s="32" t="s">
        <v>113</v>
      </c>
      <c r="E40" s="110"/>
      <c r="F40" s="110">
        <v>0</v>
      </c>
      <c r="G40" s="110">
        <v>0</v>
      </c>
      <c r="H40" s="124"/>
      <c r="I40" s="124">
        <v>0</v>
      </c>
      <c r="J40" s="155">
        <v>0</v>
      </c>
      <c r="K40" s="147"/>
      <c r="L40" s="124">
        <v>0</v>
      </c>
      <c r="M40" s="155">
        <v>0</v>
      </c>
      <c r="N40" s="147"/>
      <c r="O40" s="124">
        <v>0</v>
      </c>
      <c r="P40" s="155">
        <v>0</v>
      </c>
      <c r="Q40" s="147"/>
      <c r="R40" s="124">
        <v>0</v>
      </c>
      <c r="S40" s="155">
        <v>0</v>
      </c>
      <c r="T40" s="147"/>
      <c r="U40" s="124">
        <v>0</v>
      </c>
      <c r="V40" s="155">
        <v>0</v>
      </c>
      <c r="W40" s="147"/>
      <c r="X40" s="124">
        <v>0</v>
      </c>
      <c r="Y40" s="155">
        <v>0</v>
      </c>
      <c r="Z40" s="147"/>
      <c r="AA40" s="124">
        <v>0</v>
      </c>
      <c r="AB40" s="179">
        <v>0</v>
      </c>
      <c r="AC40" s="147"/>
      <c r="AD40" s="125">
        <v>0</v>
      </c>
      <c r="AE40" s="155">
        <v>0</v>
      </c>
      <c r="AF40" s="147"/>
      <c r="AG40" s="125">
        <v>0</v>
      </c>
      <c r="AH40" s="155">
        <v>0</v>
      </c>
      <c r="AI40" s="147"/>
      <c r="AJ40" s="125">
        <v>0</v>
      </c>
      <c r="AK40" s="155">
        <v>0</v>
      </c>
      <c r="AL40" s="147"/>
      <c r="AM40" s="125">
        <v>0</v>
      </c>
      <c r="AN40" s="155">
        <v>0</v>
      </c>
      <c r="AO40" s="147"/>
      <c r="AP40" s="125">
        <v>0</v>
      </c>
      <c r="AQ40" s="125">
        <v>0</v>
      </c>
    </row>
    <row r="41" spans="1:43" x14ac:dyDescent="0.3">
      <c r="A41" s="33" t="s">
        <v>86</v>
      </c>
      <c r="B41" s="34" t="s">
        <v>86</v>
      </c>
      <c r="C41" s="35" t="s">
        <v>81</v>
      </c>
      <c r="D41" s="29" t="s">
        <v>114</v>
      </c>
      <c r="E41" s="64" t="s">
        <v>86</v>
      </c>
      <c r="F41" s="64" t="s">
        <v>86</v>
      </c>
      <c r="G41" s="64">
        <v>27602.200999999997</v>
      </c>
      <c r="H41" s="135" t="s">
        <v>86</v>
      </c>
      <c r="I41" s="135" t="s">
        <v>86</v>
      </c>
      <c r="J41" s="161">
        <v>23670.186000000002</v>
      </c>
      <c r="K41" s="136" t="s">
        <v>86</v>
      </c>
      <c r="L41" s="135" t="s">
        <v>86</v>
      </c>
      <c r="M41" s="161">
        <v>24056.935999999991</v>
      </c>
      <c r="N41" s="136" t="s">
        <v>86</v>
      </c>
      <c r="O41" s="135" t="s">
        <v>86</v>
      </c>
      <c r="P41" s="161">
        <v>24848.681</v>
      </c>
      <c r="Q41" s="136" t="s">
        <v>86</v>
      </c>
      <c r="R41" s="135" t="s">
        <v>86</v>
      </c>
      <c r="S41" s="161">
        <v>23848.185999999998</v>
      </c>
      <c r="T41" s="136" t="s">
        <v>86</v>
      </c>
      <c r="U41" s="135" t="s">
        <v>86</v>
      </c>
      <c r="V41" s="161">
        <v>23829.62100000001</v>
      </c>
      <c r="W41" s="136" t="s">
        <v>86</v>
      </c>
      <c r="X41" s="135" t="s">
        <v>86</v>
      </c>
      <c r="Y41" s="161">
        <v>23824.740999999991</v>
      </c>
      <c r="Z41" s="136" t="s">
        <v>86</v>
      </c>
      <c r="AA41" s="135" t="s">
        <v>86</v>
      </c>
      <c r="AB41" s="183">
        <v>23854.310999999983</v>
      </c>
      <c r="AC41" s="136" t="s">
        <v>86</v>
      </c>
      <c r="AD41" s="136" t="s">
        <v>86</v>
      </c>
      <c r="AE41" s="161">
        <v>23863.380999999961</v>
      </c>
      <c r="AF41" s="136" t="s">
        <v>86</v>
      </c>
      <c r="AG41" s="136" t="s">
        <v>86</v>
      </c>
      <c r="AH41" s="161">
        <v>24074.436000000012</v>
      </c>
      <c r="AI41" s="136" t="s">
        <v>86</v>
      </c>
      <c r="AJ41" s="136" t="s">
        <v>86</v>
      </c>
      <c r="AK41" s="161">
        <v>25176.366000000005</v>
      </c>
      <c r="AL41" s="136" t="s">
        <v>86</v>
      </c>
      <c r="AM41" s="136" t="s">
        <v>86</v>
      </c>
      <c r="AN41" s="161">
        <v>25623.836000000007</v>
      </c>
      <c r="AO41" s="136" t="s">
        <v>86</v>
      </c>
      <c r="AP41" s="136" t="s">
        <v>86</v>
      </c>
      <c r="AQ41" s="136">
        <v>26040.416000000023</v>
      </c>
    </row>
    <row r="42" spans="1:43" x14ac:dyDescent="0.3">
      <c r="A42" t="s">
        <v>86</v>
      </c>
      <c r="B42" s="36" t="s">
        <v>86</v>
      </c>
      <c r="C42" s="37" t="s">
        <v>82</v>
      </c>
      <c r="D42" s="29" t="s">
        <v>115</v>
      </c>
      <c r="E42" s="65" t="s">
        <v>86</v>
      </c>
      <c r="F42" s="65" t="s">
        <v>86</v>
      </c>
      <c r="G42" s="65">
        <v>461673.701</v>
      </c>
      <c r="H42" s="137" t="s">
        <v>86</v>
      </c>
      <c r="I42" s="137" t="s">
        <v>86</v>
      </c>
      <c r="J42" s="162">
        <v>460746.35599999997</v>
      </c>
      <c r="K42" s="138" t="s">
        <v>86</v>
      </c>
      <c r="L42" s="137" t="s">
        <v>86</v>
      </c>
      <c r="M42" s="162">
        <v>472995.10599999997</v>
      </c>
      <c r="N42" s="138" t="s">
        <v>86</v>
      </c>
      <c r="O42" s="137" t="s">
        <v>86</v>
      </c>
      <c r="P42" s="162">
        <v>502944.011</v>
      </c>
      <c r="Q42" s="138" t="s">
        <v>86</v>
      </c>
      <c r="R42" s="137" t="s">
        <v>86</v>
      </c>
      <c r="S42" s="162">
        <v>502875.516</v>
      </c>
      <c r="T42" s="138" t="s">
        <v>86</v>
      </c>
      <c r="U42" s="137" t="s">
        <v>86</v>
      </c>
      <c r="V42" s="162">
        <v>504552.951</v>
      </c>
      <c r="W42" s="138" t="s">
        <v>86</v>
      </c>
      <c r="X42" s="137" t="s">
        <v>86</v>
      </c>
      <c r="Y42" s="162">
        <v>505508.821</v>
      </c>
      <c r="Z42" s="138" t="s">
        <v>86</v>
      </c>
      <c r="AA42" s="137" t="s">
        <v>86</v>
      </c>
      <c r="AB42" s="184">
        <v>509311.891</v>
      </c>
      <c r="AC42" s="138" t="s">
        <v>86</v>
      </c>
      <c r="AD42" s="138" t="s">
        <v>86</v>
      </c>
      <c r="AE42" s="162">
        <v>512159.35099999997</v>
      </c>
      <c r="AF42" s="138" t="s">
        <v>86</v>
      </c>
      <c r="AG42" s="138" t="s">
        <v>86</v>
      </c>
      <c r="AH42" s="162">
        <v>511898.71600000001</v>
      </c>
      <c r="AI42" s="138" t="s">
        <v>86</v>
      </c>
      <c r="AJ42" s="138" t="s">
        <v>86</v>
      </c>
      <c r="AK42" s="162">
        <v>520013.55599999998</v>
      </c>
      <c r="AL42" s="138" t="s">
        <v>86</v>
      </c>
      <c r="AM42" s="138" t="s">
        <v>86</v>
      </c>
      <c r="AN42" s="162">
        <v>521544.22600000002</v>
      </c>
      <c r="AO42" s="138" t="s">
        <v>86</v>
      </c>
      <c r="AP42" s="138" t="s">
        <v>86</v>
      </c>
      <c r="AQ42" s="138">
        <v>531180.66599999997</v>
      </c>
    </row>
    <row r="43" spans="1:43" x14ac:dyDescent="0.3">
      <c r="C43" s="38"/>
      <c r="D43" s="39"/>
      <c r="E43" s="66"/>
      <c r="F43" s="66"/>
      <c r="G43" s="66"/>
      <c r="H43" s="139"/>
      <c r="I43" s="139"/>
      <c r="J43" s="163"/>
      <c r="K43" s="139"/>
      <c r="L43" s="139"/>
      <c r="M43" s="163"/>
      <c r="N43" s="139"/>
      <c r="O43" s="139"/>
      <c r="P43" s="163"/>
      <c r="Q43" s="139"/>
      <c r="R43" s="139"/>
      <c r="S43" s="163"/>
      <c r="T43" s="139"/>
      <c r="U43" s="139"/>
      <c r="V43" s="163"/>
      <c r="W43" s="139"/>
      <c r="X43" s="139"/>
      <c r="Y43" s="163"/>
      <c r="Z43" s="139"/>
      <c r="AA43" s="139"/>
      <c r="AB43" s="163"/>
      <c r="AC43" s="139"/>
      <c r="AD43" s="139"/>
      <c r="AE43" s="163"/>
      <c r="AF43" s="139"/>
      <c r="AG43" s="139"/>
      <c r="AH43" s="163"/>
      <c r="AI43" s="139"/>
      <c r="AJ43" s="139"/>
      <c r="AK43" s="163"/>
      <c r="AL43" s="139"/>
      <c r="AM43" s="139"/>
      <c r="AN43" s="163"/>
      <c r="AO43" s="139"/>
      <c r="AP43" s="139"/>
      <c r="AQ43" s="139"/>
    </row>
    <row r="44" spans="1:43" x14ac:dyDescent="0.3">
      <c r="A44" s="189" t="s">
        <v>116</v>
      </c>
      <c r="B44" s="187"/>
      <c r="C44" s="187"/>
      <c r="D44" s="187"/>
      <c r="E44" s="62"/>
      <c r="F44" s="62"/>
      <c r="G44" s="62"/>
      <c r="H44" s="130"/>
      <c r="I44" s="130"/>
      <c r="J44" s="158"/>
      <c r="K44" s="130"/>
      <c r="L44" s="130"/>
      <c r="M44" s="158"/>
      <c r="N44" s="130"/>
      <c r="O44" s="130"/>
      <c r="P44" s="158"/>
      <c r="Q44" s="130"/>
      <c r="R44" s="130"/>
      <c r="S44" s="158"/>
      <c r="T44" s="130"/>
      <c r="U44" s="130"/>
      <c r="V44" s="158"/>
      <c r="W44" s="130"/>
      <c r="X44" s="130"/>
      <c r="Y44" s="158"/>
      <c r="Z44" s="130"/>
      <c r="AA44" s="130"/>
      <c r="AB44" s="158"/>
      <c r="AC44" s="130"/>
      <c r="AD44" s="130"/>
      <c r="AE44" s="158"/>
      <c r="AF44" s="130"/>
      <c r="AG44" s="130"/>
      <c r="AH44" s="158"/>
      <c r="AI44" s="130"/>
      <c r="AJ44" s="130"/>
      <c r="AK44" s="158"/>
      <c r="AL44" s="130"/>
      <c r="AM44" s="130"/>
      <c r="AN44" s="158"/>
      <c r="AO44" s="130"/>
      <c r="AP44" s="130"/>
      <c r="AQ44" s="130"/>
    </row>
    <row r="45" spans="1:43" x14ac:dyDescent="0.3">
      <c r="A45" s="191" t="s">
        <v>117</v>
      </c>
      <c r="B45" s="187"/>
      <c r="C45" s="187"/>
      <c r="D45" s="187"/>
      <c r="E45" s="62"/>
      <c r="F45" s="62"/>
      <c r="G45" s="62"/>
      <c r="H45" s="130"/>
      <c r="I45" s="130"/>
      <c r="J45" s="158"/>
      <c r="K45" s="130"/>
      <c r="L45" s="130"/>
      <c r="M45" s="158"/>
      <c r="N45" s="130"/>
      <c r="O45" s="130"/>
      <c r="P45" s="158"/>
      <c r="Q45" s="130"/>
      <c r="R45" s="130"/>
      <c r="S45" s="158"/>
      <c r="T45" s="130"/>
      <c r="U45" s="130"/>
      <c r="V45" s="158"/>
      <c r="W45" s="130"/>
      <c r="X45" s="130"/>
      <c r="Y45" s="158"/>
      <c r="Z45" s="130"/>
      <c r="AA45" s="130"/>
      <c r="AB45" s="158"/>
      <c r="AC45" s="130"/>
      <c r="AD45" s="130"/>
      <c r="AE45" s="158"/>
      <c r="AF45" s="130"/>
      <c r="AG45" s="130"/>
      <c r="AH45" s="158"/>
      <c r="AI45" s="130"/>
      <c r="AJ45" s="130"/>
      <c r="AK45" s="158"/>
      <c r="AL45" s="130"/>
      <c r="AM45" s="130"/>
      <c r="AN45" s="158"/>
      <c r="AO45" s="130"/>
      <c r="AP45" s="130"/>
      <c r="AQ45" s="130"/>
    </row>
    <row r="46" spans="1:43" x14ac:dyDescent="0.3">
      <c r="A46" s="22" t="s">
        <v>97</v>
      </c>
      <c r="B46" s="22" t="s">
        <v>98</v>
      </c>
      <c r="C46" s="22" t="s">
        <v>99</v>
      </c>
      <c r="D46" s="22" t="s">
        <v>100</v>
      </c>
      <c r="E46" s="109" t="s">
        <v>101</v>
      </c>
      <c r="F46" s="109" t="s">
        <v>102</v>
      </c>
      <c r="G46" s="109" t="s">
        <v>103</v>
      </c>
      <c r="H46" s="122" t="s">
        <v>101</v>
      </c>
      <c r="I46" s="122" t="s">
        <v>102</v>
      </c>
      <c r="J46" s="154" t="s">
        <v>103</v>
      </c>
      <c r="K46" s="146" t="s">
        <v>101</v>
      </c>
      <c r="L46" s="122" t="s">
        <v>102</v>
      </c>
      <c r="M46" s="154" t="s">
        <v>103</v>
      </c>
      <c r="N46" s="146" t="s">
        <v>101</v>
      </c>
      <c r="O46" s="122" t="s">
        <v>102</v>
      </c>
      <c r="P46" s="154" t="s">
        <v>103</v>
      </c>
      <c r="Q46" s="146" t="s">
        <v>101</v>
      </c>
      <c r="R46" s="122" t="s">
        <v>102</v>
      </c>
      <c r="S46" s="154" t="s">
        <v>103</v>
      </c>
      <c r="T46" s="146" t="s">
        <v>101</v>
      </c>
      <c r="U46" s="122" t="s">
        <v>102</v>
      </c>
      <c r="V46" s="154" t="s">
        <v>103</v>
      </c>
      <c r="W46" s="146" t="s">
        <v>101</v>
      </c>
      <c r="X46" s="122" t="s">
        <v>102</v>
      </c>
      <c r="Y46" s="154" t="s">
        <v>103</v>
      </c>
      <c r="Z46" s="146" t="s">
        <v>101</v>
      </c>
      <c r="AA46" s="122" t="s">
        <v>102</v>
      </c>
      <c r="AB46" s="178" t="s">
        <v>103</v>
      </c>
      <c r="AC46" s="146" t="s">
        <v>101</v>
      </c>
      <c r="AD46" s="123" t="s">
        <v>102</v>
      </c>
      <c r="AE46" s="154" t="s">
        <v>103</v>
      </c>
      <c r="AF46" s="146" t="s">
        <v>101</v>
      </c>
      <c r="AG46" s="123" t="s">
        <v>102</v>
      </c>
      <c r="AH46" s="154" t="s">
        <v>103</v>
      </c>
      <c r="AI46" s="146" t="s">
        <v>101</v>
      </c>
      <c r="AJ46" s="123" t="s">
        <v>102</v>
      </c>
      <c r="AK46" s="154" t="s">
        <v>103</v>
      </c>
      <c r="AL46" s="146" t="s">
        <v>101</v>
      </c>
      <c r="AM46" s="123" t="s">
        <v>102</v>
      </c>
      <c r="AN46" s="154" t="s">
        <v>103</v>
      </c>
      <c r="AO46" s="146" t="s">
        <v>101</v>
      </c>
      <c r="AP46" s="123" t="s">
        <v>102</v>
      </c>
      <c r="AQ46" s="123" t="s">
        <v>103</v>
      </c>
    </row>
    <row r="47" spans="1:43" x14ac:dyDescent="0.3">
      <c r="A47" s="23">
        <v>0</v>
      </c>
      <c r="B47" s="23" t="s">
        <v>104</v>
      </c>
      <c r="C47" s="24">
        <v>11</v>
      </c>
      <c r="D47" s="25" t="s">
        <v>2</v>
      </c>
      <c r="E47" s="112">
        <v>141327.24</v>
      </c>
      <c r="F47" s="112">
        <v>141327.24</v>
      </c>
      <c r="G47" s="112">
        <v>0</v>
      </c>
      <c r="H47" s="131">
        <v>420559.63000000006</v>
      </c>
      <c r="I47" s="131">
        <v>420559.63000000006</v>
      </c>
      <c r="J47" s="159">
        <v>0</v>
      </c>
      <c r="K47" s="149">
        <v>182779.12999999998</v>
      </c>
      <c r="L47" s="131">
        <v>182779.12999999998</v>
      </c>
      <c r="M47" s="159">
        <v>0</v>
      </c>
      <c r="N47" s="149">
        <v>211888.74</v>
      </c>
      <c r="O47" s="131">
        <v>211888.74</v>
      </c>
      <c r="P47" s="159">
        <v>0</v>
      </c>
      <c r="Q47" s="149">
        <v>195144.18000000002</v>
      </c>
      <c r="R47" s="131">
        <v>195144.18000000002</v>
      </c>
      <c r="S47" s="159">
        <v>0</v>
      </c>
      <c r="T47" s="149">
        <v>340357.49</v>
      </c>
      <c r="U47" s="131">
        <v>340357.49</v>
      </c>
      <c r="V47" s="159">
        <v>0</v>
      </c>
      <c r="W47" s="149">
        <v>132839.75</v>
      </c>
      <c r="X47" s="131">
        <v>132839.75</v>
      </c>
      <c r="Y47" s="159">
        <v>0</v>
      </c>
      <c r="Z47" s="149">
        <v>270841.71000000002</v>
      </c>
      <c r="AA47" s="131">
        <v>270841.71000000002</v>
      </c>
      <c r="AB47" s="182">
        <v>0</v>
      </c>
      <c r="AC47" s="149">
        <v>155062.66000000003</v>
      </c>
      <c r="AD47" s="132">
        <v>155062.66000000003</v>
      </c>
      <c r="AE47" s="159">
        <v>0</v>
      </c>
      <c r="AF47" s="149">
        <v>142234.78</v>
      </c>
      <c r="AG47" s="132">
        <v>142234.78</v>
      </c>
      <c r="AH47" s="159">
        <v>0</v>
      </c>
      <c r="AI47" s="149">
        <v>136191.93</v>
      </c>
      <c r="AJ47" s="132">
        <v>136191.93</v>
      </c>
      <c r="AK47" s="159">
        <v>0</v>
      </c>
      <c r="AL47" s="149">
        <v>201260.71</v>
      </c>
      <c r="AM47" s="132">
        <v>201260.71</v>
      </c>
      <c r="AN47" s="159">
        <v>0</v>
      </c>
      <c r="AO47" s="149">
        <v>168263.9</v>
      </c>
      <c r="AP47" s="132">
        <v>168263.9</v>
      </c>
      <c r="AQ47" s="132">
        <v>0</v>
      </c>
    </row>
    <row r="48" spans="1:43" ht="35.4" x14ac:dyDescent="0.3">
      <c r="A48" s="23">
        <v>0</v>
      </c>
      <c r="B48" s="23" t="s">
        <v>104</v>
      </c>
      <c r="C48" s="24">
        <v>1302</v>
      </c>
      <c r="D48" s="40" t="s">
        <v>118</v>
      </c>
      <c r="E48" s="112">
        <v>0</v>
      </c>
      <c r="F48" s="112">
        <v>0</v>
      </c>
      <c r="G48" s="112">
        <v>0</v>
      </c>
      <c r="H48" s="131">
        <v>0</v>
      </c>
      <c r="I48" s="131">
        <v>0</v>
      </c>
      <c r="J48" s="159">
        <v>0</v>
      </c>
      <c r="K48" s="149">
        <v>0</v>
      </c>
      <c r="L48" s="131">
        <v>0</v>
      </c>
      <c r="M48" s="159">
        <v>0</v>
      </c>
      <c r="N48" s="149">
        <v>0</v>
      </c>
      <c r="O48" s="131">
        <v>0</v>
      </c>
      <c r="P48" s="159">
        <v>0</v>
      </c>
      <c r="Q48" s="149">
        <v>0</v>
      </c>
      <c r="R48" s="131">
        <v>0</v>
      </c>
      <c r="S48" s="159">
        <v>0</v>
      </c>
      <c r="T48" s="149">
        <v>0</v>
      </c>
      <c r="U48" s="131">
        <v>0</v>
      </c>
      <c r="V48" s="159">
        <v>0</v>
      </c>
      <c r="W48" s="149">
        <v>0</v>
      </c>
      <c r="X48" s="131">
        <v>0</v>
      </c>
      <c r="Y48" s="159">
        <v>0</v>
      </c>
      <c r="Z48" s="149">
        <v>0</v>
      </c>
      <c r="AA48" s="131">
        <v>0</v>
      </c>
      <c r="AB48" s="182">
        <v>0</v>
      </c>
      <c r="AC48" s="149">
        <v>0</v>
      </c>
      <c r="AD48" s="132">
        <v>0</v>
      </c>
      <c r="AE48" s="159">
        <v>0</v>
      </c>
      <c r="AF48" s="149">
        <v>0</v>
      </c>
      <c r="AG48" s="132">
        <v>0</v>
      </c>
      <c r="AH48" s="159">
        <v>0</v>
      </c>
      <c r="AI48" s="149">
        <v>0</v>
      </c>
      <c r="AJ48" s="132">
        <v>0</v>
      </c>
      <c r="AK48" s="159">
        <v>0</v>
      </c>
      <c r="AL48" s="149">
        <v>0</v>
      </c>
      <c r="AM48" s="132">
        <v>0</v>
      </c>
      <c r="AN48" s="159">
        <v>0</v>
      </c>
      <c r="AO48" s="149">
        <v>0</v>
      </c>
      <c r="AP48" s="132">
        <v>0</v>
      </c>
      <c r="AQ48" s="132">
        <v>0</v>
      </c>
    </row>
    <row r="49" spans="1:43" ht="35.4" x14ac:dyDescent="0.3">
      <c r="A49" s="23">
        <v>0</v>
      </c>
      <c r="B49" s="23" t="s">
        <v>104</v>
      </c>
      <c r="C49" s="24">
        <v>1304</v>
      </c>
      <c r="D49" s="41" t="s">
        <v>119</v>
      </c>
      <c r="E49" s="112">
        <v>0</v>
      </c>
      <c r="F49" s="112">
        <v>0</v>
      </c>
      <c r="G49" s="112">
        <v>0</v>
      </c>
      <c r="H49" s="131">
        <v>0</v>
      </c>
      <c r="I49" s="131">
        <v>0</v>
      </c>
      <c r="J49" s="159">
        <v>0</v>
      </c>
      <c r="K49" s="149">
        <v>0</v>
      </c>
      <c r="L49" s="131">
        <v>0</v>
      </c>
      <c r="M49" s="159">
        <v>0</v>
      </c>
      <c r="N49" s="149">
        <v>0</v>
      </c>
      <c r="O49" s="131">
        <v>0</v>
      </c>
      <c r="P49" s="159">
        <v>0</v>
      </c>
      <c r="Q49" s="149">
        <v>0</v>
      </c>
      <c r="R49" s="131">
        <v>0</v>
      </c>
      <c r="S49" s="159">
        <v>0</v>
      </c>
      <c r="T49" s="149">
        <v>0</v>
      </c>
      <c r="U49" s="131">
        <v>0</v>
      </c>
      <c r="V49" s="159">
        <v>0</v>
      </c>
      <c r="W49" s="149">
        <v>0</v>
      </c>
      <c r="X49" s="131">
        <v>0</v>
      </c>
      <c r="Y49" s="159">
        <v>0</v>
      </c>
      <c r="Z49" s="149">
        <v>0</v>
      </c>
      <c r="AA49" s="131">
        <v>0</v>
      </c>
      <c r="AB49" s="182">
        <v>0</v>
      </c>
      <c r="AC49" s="149">
        <v>0</v>
      </c>
      <c r="AD49" s="132">
        <v>0</v>
      </c>
      <c r="AE49" s="159">
        <v>0</v>
      </c>
      <c r="AF49" s="149">
        <v>0</v>
      </c>
      <c r="AG49" s="132">
        <v>0</v>
      </c>
      <c r="AH49" s="159">
        <v>0</v>
      </c>
      <c r="AI49" s="149">
        <v>0</v>
      </c>
      <c r="AJ49" s="132">
        <v>0</v>
      </c>
      <c r="AK49" s="159">
        <v>0</v>
      </c>
      <c r="AL49" s="149">
        <v>0</v>
      </c>
      <c r="AM49" s="132">
        <v>0</v>
      </c>
      <c r="AN49" s="159">
        <v>0</v>
      </c>
      <c r="AO49" s="149">
        <v>0</v>
      </c>
      <c r="AP49" s="132">
        <v>0</v>
      </c>
      <c r="AQ49" s="132">
        <v>0</v>
      </c>
    </row>
    <row r="50" spans="1:43" ht="35.4" x14ac:dyDescent="0.3">
      <c r="A50" s="23">
        <v>0</v>
      </c>
      <c r="B50" s="23" t="s">
        <v>104</v>
      </c>
      <c r="C50" s="24">
        <v>1306</v>
      </c>
      <c r="D50" s="41" t="s">
        <v>120</v>
      </c>
      <c r="E50" s="112">
        <v>0</v>
      </c>
      <c r="F50" s="112">
        <v>0</v>
      </c>
      <c r="G50" s="112">
        <v>0</v>
      </c>
      <c r="H50" s="131">
        <v>0</v>
      </c>
      <c r="I50" s="131">
        <v>0</v>
      </c>
      <c r="J50" s="159">
        <v>0</v>
      </c>
      <c r="K50" s="149">
        <v>0</v>
      </c>
      <c r="L50" s="131">
        <v>0</v>
      </c>
      <c r="M50" s="159">
        <v>0</v>
      </c>
      <c r="N50" s="149">
        <v>0</v>
      </c>
      <c r="O50" s="131">
        <v>0</v>
      </c>
      <c r="P50" s="159">
        <v>0</v>
      </c>
      <c r="Q50" s="149">
        <v>0</v>
      </c>
      <c r="R50" s="131">
        <v>0</v>
      </c>
      <c r="S50" s="159">
        <v>0</v>
      </c>
      <c r="T50" s="149">
        <v>0</v>
      </c>
      <c r="U50" s="131">
        <v>0</v>
      </c>
      <c r="V50" s="159">
        <v>0</v>
      </c>
      <c r="W50" s="149">
        <v>0</v>
      </c>
      <c r="X50" s="131">
        <v>0</v>
      </c>
      <c r="Y50" s="159">
        <v>0</v>
      </c>
      <c r="Z50" s="149">
        <v>0</v>
      </c>
      <c r="AA50" s="131">
        <v>0</v>
      </c>
      <c r="AB50" s="182">
        <v>0</v>
      </c>
      <c r="AC50" s="149">
        <v>0</v>
      </c>
      <c r="AD50" s="132">
        <v>0</v>
      </c>
      <c r="AE50" s="159">
        <v>0</v>
      </c>
      <c r="AF50" s="149">
        <v>0</v>
      </c>
      <c r="AG50" s="132">
        <v>0</v>
      </c>
      <c r="AH50" s="159">
        <v>0</v>
      </c>
      <c r="AI50" s="149">
        <v>0</v>
      </c>
      <c r="AJ50" s="132">
        <v>0</v>
      </c>
      <c r="AK50" s="159">
        <v>0</v>
      </c>
      <c r="AL50" s="149">
        <v>0</v>
      </c>
      <c r="AM50" s="132">
        <v>0</v>
      </c>
      <c r="AN50" s="159">
        <v>0</v>
      </c>
      <c r="AO50" s="149">
        <v>0</v>
      </c>
      <c r="AP50" s="132">
        <v>0</v>
      </c>
      <c r="AQ50" s="132">
        <v>0</v>
      </c>
    </row>
    <row r="51" spans="1:43" x14ac:dyDescent="0.3">
      <c r="A51" s="23">
        <v>0</v>
      </c>
      <c r="B51" s="23" t="s">
        <v>104</v>
      </c>
      <c r="C51" s="24">
        <v>199005</v>
      </c>
      <c r="D51" s="25" t="s">
        <v>14</v>
      </c>
      <c r="E51" s="112">
        <v>0</v>
      </c>
      <c r="F51" s="112">
        <v>0</v>
      </c>
      <c r="G51" s="112">
        <v>0</v>
      </c>
      <c r="H51" s="131">
        <v>0</v>
      </c>
      <c r="I51" s="131">
        <v>0</v>
      </c>
      <c r="J51" s="159">
        <v>0</v>
      </c>
      <c r="K51" s="149">
        <v>0</v>
      </c>
      <c r="L51" s="131">
        <v>0</v>
      </c>
      <c r="M51" s="159">
        <v>0</v>
      </c>
      <c r="N51" s="149">
        <v>0</v>
      </c>
      <c r="O51" s="131">
        <v>0</v>
      </c>
      <c r="P51" s="159">
        <v>0</v>
      </c>
      <c r="Q51" s="149">
        <v>0</v>
      </c>
      <c r="R51" s="131">
        <v>0</v>
      </c>
      <c r="S51" s="159">
        <v>0</v>
      </c>
      <c r="T51" s="149">
        <v>0</v>
      </c>
      <c r="U51" s="131">
        <v>0</v>
      </c>
      <c r="V51" s="159">
        <v>0</v>
      </c>
      <c r="W51" s="149">
        <v>0</v>
      </c>
      <c r="X51" s="131">
        <v>0</v>
      </c>
      <c r="Y51" s="159">
        <v>0</v>
      </c>
      <c r="Z51" s="149">
        <v>0</v>
      </c>
      <c r="AA51" s="131">
        <v>0</v>
      </c>
      <c r="AB51" s="182">
        <v>0</v>
      </c>
      <c r="AC51" s="149">
        <v>0</v>
      </c>
      <c r="AD51" s="132">
        <v>0</v>
      </c>
      <c r="AE51" s="159">
        <v>0</v>
      </c>
      <c r="AF51" s="149">
        <v>0</v>
      </c>
      <c r="AG51" s="132">
        <v>0</v>
      </c>
      <c r="AH51" s="159">
        <v>0</v>
      </c>
      <c r="AI51" s="149">
        <v>0</v>
      </c>
      <c r="AJ51" s="132">
        <v>0</v>
      </c>
      <c r="AK51" s="159">
        <v>0</v>
      </c>
      <c r="AL51" s="149">
        <v>0</v>
      </c>
      <c r="AM51" s="132">
        <v>0</v>
      </c>
      <c r="AN51" s="159">
        <v>0</v>
      </c>
      <c r="AO51" s="149">
        <v>0</v>
      </c>
      <c r="AP51" s="132">
        <v>0</v>
      </c>
      <c r="AQ51" s="132">
        <v>0</v>
      </c>
    </row>
    <row r="52" spans="1:43" x14ac:dyDescent="0.3">
      <c r="A52" s="23">
        <v>0</v>
      </c>
      <c r="B52" s="23" t="s">
        <v>104</v>
      </c>
      <c r="C52" s="24">
        <v>190286</v>
      </c>
      <c r="D52" s="25" t="s">
        <v>13</v>
      </c>
      <c r="E52" s="112">
        <v>0</v>
      </c>
      <c r="F52" s="112">
        <v>0</v>
      </c>
      <c r="G52" s="112">
        <v>0</v>
      </c>
      <c r="H52" s="131">
        <v>0</v>
      </c>
      <c r="I52" s="131">
        <v>0</v>
      </c>
      <c r="J52" s="159">
        <v>0</v>
      </c>
      <c r="K52" s="149">
        <v>0</v>
      </c>
      <c r="L52" s="131">
        <v>0</v>
      </c>
      <c r="M52" s="159">
        <v>0</v>
      </c>
      <c r="N52" s="149">
        <v>0</v>
      </c>
      <c r="O52" s="131">
        <v>0</v>
      </c>
      <c r="P52" s="159">
        <v>0</v>
      </c>
      <c r="Q52" s="149">
        <v>0</v>
      </c>
      <c r="R52" s="131">
        <v>0</v>
      </c>
      <c r="S52" s="159">
        <v>0</v>
      </c>
      <c r="T52" s="149">
        <v>0</v>
      </c>
      <c r="U52" s="131">
        <v>0</v>
      </c>
      <c r="V52" s="159">
        <v>0</v>
      </c>
      <c r="W52" s="149">
        <v>0</v>
      </c>
      <c r="X52" s="131">
        <v>0</v>
      </c>
      <c r="Y52" s="159">
        <v>0</v>
      </c>
      <c r="Z52" s="149">
        <v>0</v>
      </c>
      <c r="AA52" s="131">
        <v>0</v>
      </c>
      <c r="AB52" s="182">
        <v>0</v>
      </c>
      <c r="AC52" s="149">
        <v>0</v>
      </c>
      <c r="AD52" s="132">
        <v>0</v>
      </c>
      <c r="AE52" s="159">
        <v>0</v>
      </c>
      <c r="AF52" s="149">
        <v>0</v>
      </c>
      <c r="AG52" s="132">
        <v>0</v>
      </c>
      <c r="AH52" s="159">
        <v>0</v>
      </c>
      <c r="AI52" s="149">
        <v>0</v>
      </c>
      <c r="AJ52" s="132">
        <v>0</v>
      </c>
      <c r="AK52" s="159">
        <v>0</v>
      </c>
      <c r="AL52" s="149">
        <v>0</v>
      </c>
      <c r="AM52" s="132">
        <v>0</v>
      </c>
      <c r="AN52" s="159">
        <v>0</v>
      </c>
      <c r="AO52" s="149">
        <v>0</v>
      </c>
      <c r="AP52" s="132">
        <v>0</v>
      </c>
      <c r="AQ52" s="132">
        <v>0</v>
      </c>
    </row>
    <row r="53" spans="1:43" x14ac:dyDescent="0.3">
      <c r="A53" s="23">
        <v>0</v>
      </c>
      <c r="B53" s="23" t="s">
        <v>104</v>
      </c>
      <c r="C53" s="24">
        <v>6404</v>
      </c>
      <c r="D53" s="25" t="s">
        <v>32</v>
      </c>
      <c r="E53" s="112">
        <v>0</v>
      </c>
      <c r="F53" s="112">
        <v>0</v>
      </c>
      <c r="G53" s="112">
        <v>0</v>
      </c>
      <c r="H53" s="131">
        <v>0</v>
      </c>
      <c r="I53" s="131">
        <v>0</v>
      </c>
      <c r="J53" s="159">
        <v>0</v>
      </c>
      <c r="K53" s="149">
        <v>0</v>
      </c>
      <c r="L53" s="131">
        <v>0</v>
      </c>
      <c r="M53" s="159">
        <v>0</v>
      </c>
      <c r="N53" s="149">
        <v>0</v>
      </c>
      <c r="O53" s="131">
        <v>0</v>
      </c>
      <c r="P53" s="159">
        <v>0</v>
      </c>
      <c r="Q53" s="149">
        <v>0</v>
      </c>
      <c r="R53" s="131">
        <v>0</v>
      </c>
      <c r="S53" s="159">
        <v>0</v>
      </c>
      <c r="T53" s="149">
        <v>0</v>
      </c>
      <c r="U53" s="131">
        <v>0</v>
      </c>
      <c r="V53" s="159">
        <v>0</v>
      </c>
      <c r="W53" s="149">
        <v>0</v>
      </c>
      <c r="X53" s="131">
        <v>0</v>
      </c>
      <c r="Y53" s="159">
        <v>0</v>
      </c>
      <c r="Z53" s="149">
        <v>0</v>
      </c>
      <c r="AA53" s="131">
        <v>0</v>
      </c>
      <c r="AB53" s="182">
        <v>0</v>
      </c>
      <c r="AC53" s="149">
        <v>0</v>
      </c>
      <c r="AD53" s="132">
        <v>0</v>
      </c>
      <c r="AE53" s="159">
        <v>0</v>
      </c>
      <c r="AF53" s="149">
        <v>0</v>
      </c>
      <c r="AG53" s="132">
        <v>0</v>
      </c>
      <c r="AH53" s="159">
        <v>0</v>
      </c>
      <c r="AI53" s="149">
        <v>0</v>
      </c>
      <c r="AJ53" s="132">
        <v>0</v>
      </c>
      <c r="AK53" s="159">
        <v>0</v>
      </c>
      <c r="AL53" s="149">
        <v>0</v>
      </c>
      <c r="AM53" s="132">
        <v>0</v>
      </c>
      <c r="AN53" s="159">
        <v>0</v>
      </c>
      <c r="AO53" s="149">
        <v>0</v>
      </c>
      <c r="AP53" s="132">
        <v>0</v>
      </c>
      <c r="AQ53" s="132">
        <v>0</v>
      </c>
    </row>
    <row r="54" spans="1:43" x14ac:dyDescent="0.3">
      <c r="A54" s="23">
        <v>0</v>
      </c>
      <c r="B54" s="23" t="s">
        <v>105</v>
      </c>
      <c r="C54" s="24">
        <v>640410</v>
      </c>
      <c r="D54" s="25" t="s">
        <v>121</v>
      </c>
      <c r="E54" s="112">
        <v>0</v>
      </c>
      <c r="F54" s="112">
        <v>0</v>
      </c>
      <c r="G54" s="112">
        <v>0</v>
      </c>
      <c r="H54" s="131">
        <v>0</v>
      </c>
      <c r="I54" s="131">
        <v>0</v>
      </c>
      <c r="J54" s="159">
        <v>0</v>
      </c>
      <c r="K54" s="149">
        <v>0</v>
      </c>
      <c r="L54" s="131">
        <v>0</v>
      </c>
      <c r="M54" s="159">
        <v>0</v>
      </c>
      <c r="N54" s="149">
        <v>0</v>
      </c>
      <c r="O54" s="131">
        <v>0</v>
      </c>
      <c r="P54" s="159">
        <v>0</v>
      </c>
      <c r="Q54" s="149">
        <v>0</v>
      </c>
      <c r="R54" s="131">
        <v>0</v>
      </c>
      <c r="S54" s="159">
        <v>0</v>
      </c>
      <c r="T54" s="149">
        <v>0</v>
      </c>
      <c r="U54" s="131">
        <v>0</v>
      </c>
      <c r="V54" s="159">
        <v>0</v>
      </c>
      <c r="W54" s="149">
        <v>0</v>
      </c>
      <c r="X54" s="131">
        <v>0</v>
      </c>
      <c r="Y54" s="159">
        <v>0</v>
      </c>
      <c r="Z54" s="149">
        <v>0</v>
      </c>
      <c r="AA54" s="131">
        <v>0</v>
      </c>
      <c r="AB54" s="182">
        <v>0</v>
      </c>
      <c r="AC54" s="149">
        <v>0</v>
      </c>
      <c r="AD54" s="132">
        <v>0</v>
      </c>
      <c r="AE54" s="159">
        <v>0</v>
      </c>
      <c r="AF54" s="149">
        <v>0</v>
      </c>
      <c r="AG54" s="132">
        <v>0</v>
      </c>
      <c r="AH54" s="159">
        <v>0</v>
      </c>
      <c r="AI54" s="149">
        <v>0</v>
      </c>
      <c r="AJ54" s="132">
        <v>0</v>
      </c>
      <c r="AK54" s="159">
        <v>0</v>
      </c>
      <c r="AL54" s="149">
        <v>0</v>
      </c>
      <c r="AM54" s="132">
        <v>0</v>
      </c>
      <c r="AN54" s="159">
        <v>0</v>
      </c>
      <c r="AO54" s="149">
        <v>0</v>
      </c>
      <c r="AP54" s="132">
        <v>0</v>
      </c>
      <c r="AQ54" s="132">
        <v>0</v>
      </c>
    </row>
    <row r="55" spans="1:43" ht="35.4" x14ac:dyDescent="0.3">
      <c r="A55" s="23">
        <v>0</v>
      </c>
      <c r="B55" s="23" t="s">
        <v>104</v>
      </c>
      <c r="C55" s="24">
        <v>7108</v>
      </c>
      <c r="D55" s="40" t="s">
        <v>122</v>
      </c>
      <c r="E55" s="112">
        <v>0</v>
      </c>
      <c r="F55" s="112">
        <v>0</v>
      </c>
      <c r="G55" s="112">
        <v>0</v>
      </c>
      <c r="H55" s="131">
        <v>0</v>
      </c>
      <c r="I55" s="131">
        <v>0</v>
      </c>
      <c r="J55" s="159">
        <v>0</v>
      </c>
      <c r="K55" s="149">
        <v>0</v>
      </c>
      <c r="L55" s="131">
        <v>0</v>
      </c>
      <c r="M55" s="159">
        <v>0</v>
      </c>
      <c r="N55" s="149">
        <v>0</v>
      </c>
      <c r="O55" s="131">
        <v>0</v>
      </c>
      <c r="P55" s="159">
        <v>0</v>
      </c>
      <c r="Q55" s="149">
        <v>0</v>
      </c>
      <c r="R55" s="131">
        <v>0</v>
      </c>
      <c r="S55" s="159">
        <v>0</v>
      </c>
      <c r="T55" s="149">
        <v>0</v>
      </c>
      <c r="U55" s="131">
        <v>0</v>
      </c>
      <c r="V55" s="159">
        <v>0</v>
      </c>
      <c r="W55" s="149">
        <v>0</v>
      </c>
      <c r="X55" s="131">
        <v>0</v>
      </c>
      <c r="Y55" s="159">
        <v>0</v>
      </c>
      <c r="Z55" s="149">
        <v>0</v>
      </c>
      <c r="AA55" s="131">
        <v>0</v>
      </c>
      <c r="AB55" s="182">
        <v>0</v>
      </c>
      <c r="AC55" s="149">
        <v>0</v>
      </c>
      <c r="AD55" s="132">
        <v>0</v>
      </c>
      <c r="AE55" s="159">
        <v>0</v>
      </c>
      <c r="AF55" s="149">
        <v>0</v>
      </c>
      <c r="AG55" s="132">
        <v>0</v>
      </c>
      <c r="AH55" s="159">
        <v>0</v>
      </c>
      <c r="AI55" s="149">
        <v>0</v>
      </c>
      <c r="AJ55" s="132">
        <v>0</v>
      </c>
      <c r="AK55" s="159">
        <v>0</v>
      </c>
      <c r="AL55" s="149">
        <v>0</v>
      </c>
      <c r="AM55" s="132">
        <v>0</v>
      </c>
      <c r="AN55" s="159">
        <v>0</v>
      </c>
      <c r="AO55" s="149">
        <v>0</v>
      </c>
      <c r="AP55" s="132">
        <v>0</v>
      </c>
      <c r="AQ55" s="132">
        <v>0</v>
      </c>
    </row>
    <row r="56" spans="1:43" x14ac:dyDescent="0.3">
      <c r="A56" s="23">
        <v>20</v>
      </c>
      <c r="B56" s="23" t="s">
        <v>104</v>
      </c>
      <c r="C56" s="24">
        <v>12</v>
      </c>
      <c r="D56" s="25" t="s">
        <v>3</v>
      </c>
      <c r="E56" s="112">
        <v>0</v>
      </c>
      <c r="F56" s="112">
        <v>0</v>
      </c>
      <c r="G56" s="112">
        <v>0</v>
      </c>
      <c r="H56" s="131">
        <v>0</v>
      </c>
      <c r="I56" s="131">
        <v>0</v>
      </c>
      <c r="J56" s="159">
        <v>0</v>
      </c>
      <c r="K56" s="149">
        <v>0</v>
      </c>
      <c r="L56" s="131">
        <v>0</v>
      </c>
      <c r="M56" s="159">
        <v>0</v>
      </c>
      <c r="N56" s="149">
        <v>0</v>
      </c>
      <c r="O56" s="131">
        <v>0</v>
      </c>
      <c r="P56" s="159">
        <v>0</v>
      </c>
      <c r="Q56" s="149">
        <v>0</v>
      </c>
      <c r="R56" s="131">
        <v>0</v>
      </c>
      <c r="S56" s="159">
        <v>0</v>
      </c>
      <c r="T56" s="149">
        <v>0</v>
      </c>
      <c r="U56" s="131">
        <v>0</v>
      </c>
      <c r="V56" s="159">
        <v>0</v>
      </c>
      <c r="W56" s="149">
        <v>0</v>
      </c>
      <c r="X56" s="131">
        <v>0</v>
      </c>
      <c r="Y56" s="159">
        <v>0</v>
      </c>
      <c r="Z56" s="149">
        <v>0</v>
      </c>
      <c r="AA56" s="131">
        <v>0</v>
      </c>
      <c r="AB56" s="182">
        <v>0</v>
      </c>
      <c r="AC56" s="149">
        <v>0</v>
      </c>
      <c r="AD56" s="132">
        <v>0</v>
      </c>
      <c r="AE56" s="159">
        <v>0</v>
      </c>
      <c r="AF56" s="149">
        <v>0</v>
      </c>
      <c r="AG56" s="132">
        <v>0</v>
      </c>
      <c r="AH56" s="159">
        <v>0</v>
      </c>
      <c r="AI56" s="149">
        <v>0</v>
      </c>
      <c r="AJ56" s="132">
        <v>0</v>
      </c>
      <c r="AK56" s="159">
        <v>0</v>
      </c>
      <c r="AL56" s="149">
        <v>0</v>
      </c>
      <c r="AM56" s="132">
        <v>0</v>
      </c>
      <c r="AN56" s="159">
        <v>0</v>
      </c>
      <c r="AO56" s="149">
        <v>0</v>
      </c>
      <c r="AP56" s="132">
        <v>0</v>
      </c>
      <c r="AQ56" s="132">
        <v>0</v>
      </c>
    </row>
    <row r="57" spans="1:43" x14ac:dyDescent="0.3">
      <c r="A57" s="23">
        <v>20</v>
      </c>
      <c r="B57" s="23" t="s">
        <v>104</v>
      </c>
      <c r="C57" s="24">
        <v>1307</v>
      </c>
      <c r="D57" s="25" t="s">
        <v>5</v>
      </c>
      <c r="E57" s="112">
        <v>0</v>
      </c>
      <c r="F57" s="112">
        <v>0</v>
      </c>
      <c r="G57" s="112">
        <v>0</v>
      </c>
      <c r="H57" s="131">
        <v>0</v>
      </c>
      <c r="I57" s="131">
        <v>0</v>
      </c>
      <c r="J57" s="159">
        <v>0</v>
      </c>
      <c r="K57" s="149">
        <v>0</v>
      </c>
      <c r="L57" s="131">
        <v>0</v>
      </c>
      <c r="M57" s="159">
        <v>0</v>
      </c>
      <c r="N57" s="149">
        <v>0</v>
      </c>
      <c r="O57" s="131">
        <v>0</v>
      </c>
      <c r="P57" s="159">
        <v>0</v>
      </c>
      <c r="Q57" s="149">
        <v>0</v>
      </c>
      <c r="R57" s="131">
        <v>0</v>
      </c>
      <c r="S57" s="159">
        <v>0</v>
      </c>
      <c r="T57" s="149">
        <v>0</v>
      </c>
      <c r="U57" s="131">
        <v>0</v>
      </c>
      <c r="V57" s="159">
        <v>0</v>
      </c>
      <c r="W57" s="149">
        <v>0</v>
      </c>
      <c r="X57" s="131">
        <v>0</v>
      </c>
      <c r="Y57" s="159">
        <v>0</v>
      </c>
      <c r="Z57" s="149">
        <v>0</v>
      </c>
      <c r="AA57" s="131">
        <v>0</v>
      </c>
      <c r="AB57" s="182">
        <v>0</v>
      </c>
      <c r="AC57" s="149">
        <v>0</v>
      </c>
      <c r="AD57" s="132">
        <v>0</v>
      </c>
      <c r="AE57" s="159">
        <v>0</v>
      </c>
      <c r="AF57" s="149">
        <v>0</v>
      </c>
      <c r="AG57" s="132">
        <v>0</v>
      </c>
      <c r="AH57" s="159">
        <v>0</v>
      </c>
      <c r="AI57" s="149">
        <v>0</v>
      </c>
      <c r="AJ57" s="132">
        <v>0</v>
      </c>
      <c r="AK57" s="159">
        <v>0</v>
      </c>
      <c r="AL57" s="149">
        <v>0</v>
      </c>
      <c r="AM57" s="132">
        <v>0</v>
      </c>
      <c r="AN57" s="159">
        <v>0</v>
      </c>
      <c r="AO57" s="149">
        <v>0</v>
      </c>
      <c r="AP57" s="132">
        <v>0</v>
      </c>
      <c r="AQ57" s="132">
        <v>0</v>
      </c>
    </row>
    <row r="58" spans="1:43" ht="46.8" x14ac:dyDescent="0.3">
      <c r="A58" s="23">
        <v>50</v>
      </c>
      <c r="B58" s="23" t="s">
        <v>104</v>
      </c>
      <c r="C58" s="24">
        <v>1301</v>
      </c>
      <c r="D58" s="41" t="s">
        <v>123</v>
      </c>
      <c r="E58" s="112">
        <v>0</v>
      </c>
      <c r="F58" s="112">
        <v>0</v>
      </c>
      <c r="G58" s="112">
        <v>0</v>
      </c>
      <c r="H58" s="131">
        <v>0</v>
      </c>
      <c r="I58" s="131">
        <v>0</v>
      </c>
      <c r="J58" s="159">
        <v>0</v>
      </c>
      <c r="K58" s="149">
        <v>0</v>
      </c>
      <c r="L58" s="131">
        <v>0</v>
      </c>
      <c r="M58" s="159">
        <v>0</v>
      </c>
      <c r="N58" s="149">
        <v>0</v>
      </c>
      <c r="O58" s="131">
        <v>0</v>
      </c>
      <c r="P58" s="159">
        <v>0</v>
      </c>
      <c r="Q58" s="149">
        <v>0</v>
      </c>
      <c r="R58" s="131">
        <v>0</v>
      </c>
      <c r="S58" s="159">
        <v>0</v>
      </c>
      <c r="T58" s="149">
        <v>0</v>
      </c>
      <c r="U58" s="131">
        <v>0</v>
      </c>
      <c r="V58" s="159">
        <v>0</v>
      </c>
      <c r="W58" s="149">
        <v>0</v>
      </c>
      <c r="X58" s="131">
        <v>0</v>
      </c>
      <c r="Y58" s="159">
        <v>0</v>
      </c>
      <c r="Z58" s="149">
        <v>0</v>
      </c>
      <c r="AA58" s="131">
        <v>0</v>
      </c>
      <c r="AB58" s="182">
        <v>0</v>
      </c>
      <c r="AC58" s="149">
        <v>0</v>
      </c>
      <c r="AD58" s="132">
        <v>0</v>
      </c>
      <c r="AE58" s="159">
        <v>0</v>
      </c>
      <c r="AF58" s="149">
        <v>0</v>
      </c>
      <c r="AG58" s="132">
        <v>0</v>
      </c>
      <c r="AH58" s="159">
        <v>0</v>
      </c>
      <c r="AI58" s="149">
        <v>0</v>
      </c>
      <c r="AJ58" s="132">
        <v>0</v>
      </c>
      <c r="AK58" s="159">
        <v>0</v>
      </c>
      <c r="AL58" s="149">
        <v>0</v>
      </c>
      <c r="AM58" s="132">
        <v>0</v>
      </c>
      <c r="AN58" s="159">
        <v>0</v>
      </c>
      <c r="AO58" s="149">
        <v>0</v>
      </c>
      <c r="AP58" s="132">
        <v>0</v>
      </c>
      <c r="AQ58" s="132">
        <v>0</v>
      </c>
    </row>
    <row r="59" spans="1:43" ht="35.4" x14ac:dyDescent="0.3">
      <c r="A59" s="23">
        <v>50</v>
      </c>
      <c r="B59" s="23" t="s">
        <v>104</v>
      </c>
      <c r="C59" s="24">
        <v>1303</v>
      </c>
      <c r="D59" s="41" t="s">
        <v>124</v>
      </c>
      <c r="E59" s="112">
        <v>0</v>
      </c>
      <c r="F59" s="112">
        <v>0</v>
      </c>
      <c r="G59" s="112">
        <v>0</v>
      </c>
      <c r="H59" s="131">
        <v>0</v>
      </c>
      <c r="I59" s="131">
        <v>0</v>
      </c>
      <c r="J59" s="159">
        <v>0</v>
      </c>
      <c r="K59" s="149">
        <v>0</v>
      </c>
      <c r="L59" s="131">
        <v>0</v>
      </c>
      <c r="M59" s="159">
        <v>0</v>
      </c>
      <c r="N59" s="149">
        <v>0</v>
      </c>
      <c r="O59" s="131">
        <v>0</v>
      </c>
      <c r="P59" s="159">
        <v>0</v>
      </c>
      <c r="Q59" s="149">
        <v>0</v>
      </c>
      <c r="R59" s="131">
        <v>0</v>
      </c>
      <c r="S59" s="159">
        <v>0</v>
      </c>
      <c r="T59" s="149">
        <v>0</v>
      </c>
      <c r="U59" s="131">
        <v>0</v>
      </c>
      <c r="V59" s="159">
        <v>0</v>
      </c>
      <c r="W59" s="149">
        <v>0</v>
      </c>
      <c r="X59" s="131">
        <v>0</v>
      </c>
      <c r="Y59" s="159">
        <v>0</v>
      </c>
      <c r="Z59" s="149">
        <v>0</v>
      </c>
      <c r="AA59" s="131">
        <v>0</v>
      </c>
      <c r="AB59" s="182">
        <v>0</v>
      </c>
      <c r="AC59" s="149">
        <v>0</v>
      </c>
      <c r="AD59" s="132">
        <v>0</v>
      </c>
      <c r="AE59" s="159">
        <v>0</v>
      </c>
      <c r="AF59" s="149">
        <v>0</v>
      </c>
      <c r="AG59" s="132">
        <v>0</v>
      </c>
      <c r="AH59" s="159">
        <v>0</v>
      </c>
      <c r="AI59" s="149">
        <v>0</v>
      </c>
      <c r="AJ59" s="132">
        <v>0</v>
      </c>
      <c r="AK59" s="159">
        <v>0</v>
      </c>
      <c r="AL59" s="149">
        <v>0</v>
      </c>
      <c r="AM59" s="132">
        <v>0</v>
      </c>
      <c r="AN59" s="159">
        <v>0</v>
      </c>
      <c r="AO59" s="149">
        <v>0</v>
      </c>
      <c r="AP59" s="132">
        <v>0</v>
      </c>
      <c r="AQ59" s="132">
        <v>0</v>
      </c>
    </row>
    <row r="60" spans="1:43" ht="35.4" x14ac:dyDescent="0.3">
      <c r="A60" s="23">
        <v>50</v>
      </c>
      <c r="B60" s="23" t="s">
        <v>104</v>
      </c>
      <c r="C60" s="24">
        <v>1305</v>
      </c>
      <c r="D60" s="40" t="s">
        <v>125</v>
      </c>
      <c r="E60" s="112">
        <v>0</v>
      </c>
      <c r="F60" s="112">
        <v>0</v>
      </c>
      <c r="G60" s="112">
        <v>0</v>
      </c>
      <c r="H60" s="131">
        <v>40000</v>
      </c>
      <c r="I60" s="131">
        <v>40000</v>
      </c>
      <c r="J60" s="159">
        <v>20000</v>
      </c>
      <c r="K60" s="149">
        <v>190202.54</v>
      </c>
      <c r="L60" s="131">
        <v>190202.54</v>
      </c>
      <c r="M60" s="159">
        <v>95101.27</v>
      </c>
      <c r="N60" s="149">
        <v>110000</v>
      </c>
      <c r="O60" s="131">
        <v>110000</v>
      </c>
      <c r="P60" s="159">
        <v>55000</v>
      </c>
      <c r="Q60" s="149">
        <v>0</v>
      </c>
      <c r="R60" s="131">
        <v>0</v>
      </c>
      <c r="S60" s="159">
        <v>0</v>
      </c>
      <c r="T60" s="149">
        <v>200000</v>
      </c>
      <c r="U60" s="131">
        <v>200000</v>
      </c>
      <c r="V60" s="159">
        <v>100000</v>
      </c>
      <c r="W60" s="149">
        <v>200000</v>
      </c>
      <c r="X60" s="131">
        <v>200000</v>
      </c>
      <c r="Y60" s="159">
        <v>100000</v>
      </c>
      <c r="Z60" s="149">
        <v>0</v>
      </c>
      <c r="AA60" s="131">
        <v>0</v>
      </c>
      <c r="AB60" s="182">
        <v>0</v>
      </c>
      <c r="AC60" s="149">
        <v>0</v>
      </c>
      <c r="AD60" s="132">
        <v>0</v>
      </c>
      <c r="AE60" s="159">
        <v>0</v>
      </c>
      <c r="AF60" s="149">
        <v>0</v>
      </c>
      <c r="AG60" s="132">
        <v>0</v>
      </c>
      <c r="AH60" s="159">
        <v>0</v>
      </c>
      <c r="AI60" s="149">
        <v>0</v>
      </c>
      <c r="AJ60" s="132">
        <v>0</v>
      </c>
      <c r="AK60" s="159">
        <v>0</v>
      </c>
      <c r="AL60" s="149">
        <v>0</v>
      </c>
      <c r="AM60" s="132">
        <v>0</v>
      </c>
      <c r="AN60" s="159">
        <v>0</v>
      </c>
      <c r="AO60" s="149">
        <v>0</v>
      </c>
      <c r="AP60" s="132">
        <v>0</v>
      </c>
      <c r="AQ60" s="132">
        <v>0</v>
      </c>
    </row>
    <row r="61" spans="1:43" x14ac:dyDescent="0.3">
      <c r="A61" s="23">
        <v>50</v>
      </c>
      <c r="B61" s="23" t="s">
        <v>104</v>
      </c>
      <c r="C61" s="24">
        <v>1403</v>
      </c>
      <c r="D61" s="25" t="s">
        <v>7</v>
      </c>
      <c r="E61" s="112">
        <v>0</v>
      </c>
      <c r="F61" s="112">
        <v>0</v>
      </c>
      <c r="G61" s="112">
        <v>0</v>
      </c>
      <c r="H61" s="131">
        <v>0</v>
      </c>
      <c r="I61" s="131">
        <v>0</v>
      </c>
      <c r="J61" s="159">
        <v>0</v>
      </c>
      <c r="K61" s="149">
        <v>0</v>
      </c>
      <c r="L61" s="131">
        <v>0</v>
      </c>
      <c r="M61" s="159">
        <v>0</v>
      </c>
      <c r="N61" s="149">
        <v>0</v>
      </c>
      <c r="O61" s="131">
        <v>0</v>
      </c>
      <c r="P61" s="159">
        <v>0</v>
      </c>
      <c r="Q61" s="149">
        <v>0</v>
      </c>
      <c r="R61" s="131">
        <v>0</v>
      </c>
      <c r="S61" s="159">
        <v>0</v>
      </c>
      <c r="T61" s="149">
        <v>0</v>
      </c>
      <c r="U61" s="131">
        <v>0</v>
      </c>
      <c r="V61" s="159">
        <v>0</v>
      </c>
      <c r="W61" s="149">
        <v>0</v>
      </c>
      <c r="X61" s="131">
        <v>0</v>
      </c>
      <c r="Y61" s="159">
        <v>0</v>
      </c>
      <c r="Z61" s="149">
        <v>0</v>
      </c>
      <c r="AA61" s="131">
        <v>0</v>
      </c>
      <c r="AB61" s="182">
        <v>0</v>
      </c>
      <c r="AC61" s="149">
        <v>0</v>
      </c>
      <c r="AD61" s="132">
        <v>0</v>
      </c>
      <c r="AE61" s="159">
        <v>0</v>
      </c>
      <c r="AF61" s="149">
        <v>0</v>
      </c>
      <c r="AG61" s="132">
        <v>0</v>
      </c>
      <c r="AH61" s="159">
        <v>0</v>
      </c>
      <c r="AI61" s="149">
        <v>0</v>
      </c>
      <c r="AJ61" s="132">
        <v>0</v>
      </c>
      <c r="AK61" s="159">
        <v>0</v>
      </c>
      <c r="AL61" s="149">
        <v>0</v>
      </c>
      <c r="AM61" s="132">
        <v>0</v>
      </c>
      <c r="AN61" s="159">
        <v>0</v>
      </c>
      <c r="AO61" s="149">
        <v>0</v>
      </c>
      <c r="AP61" s="132">
        <v>0</v>
      </c>
      <c r="AQ61" s="132">
        <v>0</v>
      </c>
    </row>
    <row r="62" spans="1:43" ht="35.4" x14ac:dyDescent="0.3">
      <c r="A62" s="23">
        <v>50</v>
      </c>
      <c r="B62" s="23" t="s">
        <v>104</v>
      </c>
      <c r="C62" s="24">
        <v>1408</v>
      </c>
      <c r="D62" s="40" t="s">
        <v>126</v>
      </c>
      <c r="E62" s="112">
        <v>0</v>
      </c>
      <c r="F62" s="112">
        <v>0</v>
      </c>
      <c r="G62" s="112">
        <v>0</v>
      </c>
      <c r="H62" s="131">
        <v>0</v>
      </c>
      <c r="I62" s="131">
        <v>0</v>
      </c>
      <c r="J62" s="159">
        <v>0</v>
      </c>
      <c r="K62" s="149">
        <v>0</v>
      </c>
      <c r="L62" s="131">
        <v>0</v>
      </c>
      <c r="M62" s="159">
        <v>0</v>
      </c>
      <c r="N62" s="149">
        <v>0</v>
      </c>
      <c r="O62" s="131">
        <v>0</v>
      </c>
      <c r="P62" s="159">
        <v>0</v>
      </c>
      <c r="Q62" s="149">
        <v>0</v>
      </c>
      <c r="R62" s="131">
        <v>0</v>
      </c>
      <c r="S62" s="159">
        <v>0</v>
      </c>
      <c r="T62" s="149">
        <v>0</v>
      </c>
      <c r="U62" s="131">
        <v>0</v>
      </c>
      <c r="V62" s="159">
        <v>0</v>
      </c>
      <c r="W62" s="149">
        <v>0</v>
      </c>
      <c r="X62" s="131">
        <v>0</v>
      </c>
      <c r="Y62" s="159">
        <v>0</v>
      </c>
      <c r="Z62" s="149">
        <v>0</v>
      </c>
      <c r="AA62" s="131">
        <v>0</v>
      </c>
      <c r="AB62" s="182">
        <v>0</v>
      </c>
      <c r="AC62" s="149">
        <v>0</v>
      </c>
      <c r="AD62" s="132">
        <v>0</v>
      </c>
      <c r="AE62" s="159">
        <v>0</v>
      </c>
      <c r="AF62" s="149">
        <v>0</v>
      </c>
      <c r="AG62" s="132">
        <v>0</v>
      </c>
      <c r="AH62" s="159">
        <v>0</v>
      </c>
      <c r="AI62" s="149">
        <v>0</v>
      </c>
      <c r="AJ62" s="132">
        <v>0</v>
      </c>
      <c r="AK62" s="159">
        <v>0</v>
      </c>
      <c r="AL62" s="149">
        <v>0</v>
      </c>
      <c r="AM62" s="132">
        <v>0</v>
      </c>
      <c r="AN62" s="159">
        <v>0</v>
      </c>
      <c r="AO62" s="149">
        <v>0</v>
      </c>
      <c r="AP62" s="132">
        <v>0</v>
      </c>
      <c r="AQ62" s="132">
        <v>0</v>
      </c>
    </row>
    <row r="63" spans="1:43" ht="35.4" x14ac:dyDescent="0.3">
      <c r="A63" s="23">
        <v>50</v>
      </c>
      <c r="B63" s="23" t="s">
        <v>104</v>
      </c>
      <c r="C63" s="24">
        <v>1619</v>
      </c>
      <c r="D63" s="40" t="s">
        <v>127</v>
      </c>
      <c r="E63" s="112">
        <v>0</v>
      </c>
      <c r="F63" s="112">
        <v>0</v>
      </c>
      <c r="G63" s="112">
        <v>0</v>
      </c>
      <c r="H63" s="131">
        <v>0</v>
      </c>
      <c r="I63" s="131">
        <v>0</v>
      </c>
      <c r="J63" s="159">
        <v>0</v>
      </c>
      <c r="K63" s="149">
        <v>0</v>
      </c>
      <c r="L63" s="131">
        <v>0</v>
      </c>
      <c r="M63" s="159">
        <v>0</v>
      </c>
      <c r="N63" s="149">
        <v>0</v>
      </c>
      <c r="O63" s="131">
        <v>0</v>
      </c>
      <c r="P63" s="159">
        <v>0</v>
      </c>
      <c r="Q63" s="149">
        <v>0</v>
      </c>
      <c r="R63" s="131">
        <v>0</v>
      </c>
      <c r="S63" s="159">
        <v>0</v>
      </c>
      <c r="T63" s="149">
        <v>0</v>
      </c>
      <c r="U63" s="131">
        <v>0</v>
      </c>
      <c r="V63" s="159">
        <v>0</v>
      </c>
      <c r="W63" s="149">
        <v>0</v>
      </c>
      <c r="X63" s="131">
        <v>0</v>
      </c>
      <c r="Y63" s="159">
        <v>0</v>
      </c>
      <c r="Z63" s="149">
        <v>0</v>
      </c>
      <c r="AA63" s="131">
        <v>0</v>
      </c>
      <c r="AB63" s="182">
        <v>0</v>
      </c>
      <c r="AC63" s="149">
        <v>0</v>
      </c>
      <c r="AD63" s="132">
        <v>0</v>
      </c>
      <c r="AE63" s="159">
        <v>0</v>
      </c>
      <c r="AF63" s="149">
        <v>0</v>
      </c>
      <c r="AG63" s="132">
        <v>0</v>
      </c>
      <c r="AH63" s="159">
        <v>0</v>
      </c>
      <c r="AI63" s="149">
        <v>0</v>
      </c>
      <c r="AJ63" s="132">
        <v>0</v>
      </c>
      <c r="AK63" s="159">
        <v>0</v>
      </c>
      <c r="AL63" s="149">
        <v>0</v>
      </c>
      <c r="AM63" s="132">
        <v>0</v>
      </c>
      <c r="AN63" s="159">
        <v>0</v>
      </c>
      <c r="AO63" s="149">
        <v>0</v>
      </c>
      <c r="AP63" s="132">
        <v>0</v>
      </c>
      <c r="AQ63" s="132">
        <v>0</v>
      </c>
    </row>
    <row r="64" spans="1:43" x14ac:dyDescent="0.3">
      <c r="A64" s="23">
        <v>50</v>
      </c>
      <c r="B64" s="23" t="s">
        <v>104</v>
      </c>
      <c r="C64" s="24">
        <v>640505</v>
      </c>
      <c r="D64" s="25" t="s">
        <v>33</v>
      </c>
      <c r="E64" s="112">
        <v>0</v>
      </c>
      <c r="F64" s="112">
        <v>0</v>
      </c>
      <c r="G64" s="112">
        <v>0</v>
      </c>
      <c r="H64" s="131">
        <v>0</v>
      </c>
      <c r="I64" s="131">
        <v>0</v>
      </c>
      <c r="J64" s="159">
        <v>0</v>
      </c>
      <c r="K64" s="149">
        <v>0</v>
      </c>
      <c r="L64" s="131">
        <v>0</v>
      </c>
      <c r="M64" s="159">
        <v>0</v>
      </c>
      <c r="N64" s="149">
        <v>0</v>
      </c>
      <c r="O64" s="131">
        <v>0</v>
      </c>
      <c r="P64" s="159">
        <v>0</v>
      </c>
      <c r="Q64" s="149">
        <v>0</v>
      </c>
      <c r="R64" s="131">
        <v>0</v>
      </c>
      <c r="S64" s="159">
        <v>0</v>
      </c>
      <c r="T64" s="149">
        <v>0</v>
      </c>
      <c r="U64" s="131">
        <v>0</v>
      </c>
      <c r="V64" s="159">
        <v>0</v>
      </c>
      <c r="W64" s="149">
        <v>0</v>
      </c>
      <c r="X64" s="131">
        <v>0</v>
      </c>
      <c r="Y64" s="159">
        <v>0</v>
      </c>
      <c r="Z64" s="149">
        <v>0</v>
      </c>
      <c r="AA64" s="131">
        <v>0</v>
      </c>
      <c r="AB64" s="182">
        <v>0</v>
      </c>
      <c r="AC64" s="149">
        <v>0</v>
      </c>
      <c r="AD64" s="132">
        <v>0</v>
      </c>
      <c r="AE64" s="159">
        <v>0</v>
      </c>
      <c r="AF64" s="149">
        <v>0</v>
      </c>
      <c r="AG64" s="132">
        <v>0</v>
      </c>
      <c r="AH64" s="159">
        <v>0</v>
      </c>
      <c r="AI64" s="149">
        <v>0</v>
      </c>
      <c r="AJ64" s="132">
        <v>0</v>
      </c>
      <c r="AK64" s="159">
        <v>0</v>
      </c>
      <c r="AL64" s="149">
        <v>0</v>
      </c>
      <c r="AM64" s="132">
        <v>0</v>
      </c>
      <c r="AN64" s="159">
        <v>0</v>
      </c>
      <c r="AO64" s="149">
        <v>0</v>
      </c>
      <c r="AP64" s="132">
        <v>0</v>
      </c>
      <c r="AQ64" s="132">
        <v>0</v>
      </c>
    </row>
    <row r="65" spans="1:43" x14ac:dyDescent="0.3">
      <c r="A65" s="23">
        <v>100</v>
      </c>
      <c r="B65" s="23" t="s">
        <v>104</v>
      </c>
      <c r="C65" s="24">
        <v>13</v>
      </c>
      <c r="D65" s="25" t="s">
        <v>4</v>
      </c>
      <c r="E65" s="112">
        <v>0</v>
      </c>
      <c r="F65" s="112">
        <v>0</v>
      </c>
      <c r="G65" s="112">
        <v>0</v>
      </c>
      <c r="H65" s="131">
        <v>40000</v>
      </c>
      <c r="I65" s="131">
        <v>40000</v>
      </c>
      <c r="J65" s="159">
        <v>20000</v>
      </c>
      <c r="K65" s="149">
        <v>190202.54</v>
      </c>
      <c r="L65" s="131">
        <v>190202.54</v>
      </c>
      <c r="M65" s="159">
        <v>95101.27</v>
      </c>
      <c r="N65" s="149">
        <v>110000</v>
      </c>
      <c r="O65" s="131">
        <v>110000</v>
      </c>
      <c r="P65" s="159">
        <v>55000</v>
      </c>
      <c r="Q65" s="149">
        <v>0</v>
      </c>
      <c r="R65" s="131">
        <v>0</v>
      </c>
      <c r="S65" s="159">
        <v>0</v>
      </c>
      <c r="T65" s="149">
        <v>200000</v>
      </c>
      <c r="U65" s="131">
        <v>200000</v>
      </c>
      <c r="V65" s="159">
        <v>100000</v>
      </c>
      <c r="W65" s="149">
        <v>200000</v>
      </c>
      <c r="X65" s="131">
        <v>200000</v>
      </c>
      <c r="Y65" s="159">
        <v>100000</v>
      </c>
      <c r="Z65" s="149">
        <v>0</v>
      </c>
      <c r="AA65" s="131">
        <v>0</v>
      </c>
      <c r="AB65" s="182">
        <v>0</v>
      </c>
      <c r="AC65" s="149">
        <v>0</v>
      </c>
      <c r="AD65" s="132">
        <v>0</v>
      </c>
      <c r="AE65" s="159">
        <v>0</v>
      </c>
      <c r="AF65" s="149">
        <v>0</v>
      </c>
      <c r="AG65" s="132">
        <v>0</v>
      </c>
      <c r="AH65" s="159">
        <v>0</v>
      </c>
      <c r="AI65" s="149">
        <v>0</v>
      </c>
      <c r="AJ65" s="132">
        <v>0</v>
      </c>
      <c r="AK65" s="159">
        <v>0</v>
      </c>
      <c r="AL65" s="149">
        <v>0</v>
      </c>
      <c r="AM65" s="132">
        <v>0</v>
      </c>
      <c r="AN65" s="159">
        <v>0</v>
      </c>
      <c r="AO65" s="149">
        <v>0</v>
      </c>
      <c r="AP65" s="132">
        <v>0</v>
      </c>
      <c r="AQ65" s="132">
        <v>0</v>
      </c>
    </row>
    <row r="66" spans="1:43" x14ac:dyDescent="0.3">
      <c r="A66" s="23">
        <v>100</v>
      </c>
      <c r="B66" s="23" t="s">
        <v>104</v>
      </c>
      <c r="C66" s="24">
        <v>14</v>
      </c>
      <c r="D66" s="25" t="s">
        <v>6</v>
      </c>
      <c r="E66" s="113">
        <v>1589914.5900000003</v>
      </c>
      <c r="F66" s="113">
        <v>1589914.5900000003</v>
      </c>
      <c r="G66" s="113">
        <v>1589914.5900000003</v>
      </c>
      <c r="H66" s="140">
        <v>1581408.5</v>
      </c>
      <c r="I66" s="140">
        <v>1581408.5</v>
      </c>
      <c r="J66" s="164">
        <v>1581408.5</v>
      </c>
      <c r="K66" s="151">
        <v>1683936.4799999997</v>
      </c>
      <c r="L66" s="140">
        <v>1683936.4799999997</v>
      </c>
      <c r="M66" s="164">
        <v>1683936.4799999997</v>
      </c>
      <c r="N66" s="151">
        <v>1799952.0200000003</v>
      </c>
      <c r="O66" s="140">
        <v>1799952.0200000003</v>
      </c>
      <c r="P66" s="164">
        <v>1799952.0200000003</v>
      </c>
      <c r="Q66" s="151">
        <v>1905752.71</v>
      </c>
      <c r="R66" s="140">
        <v>1905752.71</v>
      </c>
      <c r="S66" s="164">
        <v>1905752.71</v>
      </c>
      <c r="T66" s="151">
        <v>1919694.48</v>
      </c>
      <c r="U66" s="140">
        <v>1919694.48</v>
      </c>
      <c r="V66" s="164">
        <v>1919694.48</v>
      </c>
      <c r="W66" s="151">
        <v>2019288.1800000002</v>
      </c>
      <c r="X66" s="140">
        <v>2019288.1800000002</v>
      </c>
      <c r="Y66" s="164">
        <v>2019288.1800000002</v>
      </c>
      <c r="Z66" s="151">
        <v>2084125.2799999998</v>
      </c>
      <c r="AA66" s="140">
        <v>2084125.2799999998</v>
      </c>
      <c r="AB66" s="185">
        <v>2084125.2799999998</v>
      </c>
      <c r="AC66" s="151">
        <v>2261073.1999999997</v>
      </c>
      <c r="AD66" s="141">
        <v>2261073.1999999997</v>
      </c>
      <c r="AE66" s="164">
        <v>2261073.1999999997</v>
      </c>
      <c r="AF66" s="151">
        <v>2233553.0900000003</v>
      </c>
      <c r="AG66" s="141">
        <v>2233553.0900000003</v>
      </c>
      <c r="AH66" s="164">
        <v>2233553.0900000003</v>
      </c>
      <c r="AI66" s="151">
        <v>2252102.7999999993</v>
      </c>
      <c r="AJ66" s="141">
        <v>2252102.7999999993</v>
      </c>
      <c r="AK66" s="164">
        <v>2252102.7999999993</v>
      </c>
      <c r="AL66" s="151">
        <v>2226039.5699999998</v>
      </c>
      <c r="AM66" s="141">
        <v>2226039.5699999998</v>
      </c>
      <c r="AN66" s="164">
        <v>2226039.5699999998</v>
      </c>
      <c r="AO66" s="151">
        <v>2234359.6599999997</v>
      </c>
      <c r="AP66" s="141">
        <v>2234359.6599999997</v>
      </c>
      <c r="AQ66" s="141">
        <v>2234359.6599999997</v>
      </c>
    </row>
    <row r="67" spans="1:43" x14ac:dyDescent="0.3">
      <c r="A67" s="23">
        <v>100</v>
      </c>
      <c r="B67" s="23" t="s">
        <v>104</v>
      </c>
      <c r="C67" s="24">
        <v>16</v>
      </c>
      <c r="D67" s="25" t="s">
        <v>10</v>
      </c>
      <c r="E67" s="113">
        <v>31517.4</v>
      </c>
      <c r="F67" s="113">
        <v>31517.4</v>
      </c>
      <c r="G67" s="113">
        <v>31517.4</v>
      </c>
      <c r="H67" s="140">
        <v>37607.33</v>
      </c>
      <c r="I67" s="140">
        <v>37607.33</v>
      </c>
      <c r="J67" s="164">
        <v>37607.33</v>
      </c>
      <c r="K67" s="151">
        <v>41742.269999999997</v>
      </c>
      <c r="L67" s="140">
        <v>41742.269999999997</v>
      </c>
      <c r="M67" s="164">
        <v>41742.269999999997</v>
      </c>
      <c r="N67" s="151">
        <v>49553.710000000006</v>
      </c>
      <c r="O67" s="140">
        <v>49553.710000000006</v>
      </c>
      <c r="P67" s="164">
        <v>49553.710000000006</v>
      </c>
      <c r="Q67" s="151">
        <v>57571.26</v>
      </c>
      <c r="R67" s="140">
        <v>57571.26</v>
      </c>
      <c r="S67" s="164">
        <v>57571.26</v>
      </c>
      <c r="T67" s="151">
        <v>74475.709999999992</v>
      </c>
      <c r="U67" s="140">
        <v>74475.709999999992</v>
      </c>
      <c r="V67" s="164">
        <v>74475.709999999992</v>
      </c>
      <c r="W67" s="151">
        <v>72101.45</v>
      </c>
      <c r="X67" s="140">
        <v>72101.45</v>
      </c>
      <c r="Y67" s="164">
        <v>72101.45</v>
      </c>
      <c r="Z67" s="151">
        <v>89859.859999999986</v>
      </c>
      <c r="AA67" s="140">
        <v>89859.859999999986</v>
      </c>
      <c r="AB67" s="185">
        <v>89859.859999999986</v>
      </c>
      <c r="AC67" s="151">
        <v>86883.62</v>
      </c>
      <c r="AD67" s="141">
        <v>86883.62</v>
      </c>
      <c r="AE67" s="164">
        <v>86883.62</v>
      </c>
      <c r="AF67" s="151">
        <v>86841.170000000013</v>
      </c>
      <c r="AG67" s="141">
        <v>86841.170000000013</v>
      </c>
      <c r="AH67" s="164">
        <v>86841.170000000013</v>
      </c>
      <c r="AI67" s="151">
        <v>67835.38</v>
      </c>
      <c r="AJ67" s="141">
        <v>67835.38</v>
      </c>
      <c r="AK67" s="164">
        <v>67835.38</v>
      </c>
      <c r="AL67" s="151">
        <v>60428.67</v>
      </c>
      <c r="AM67" s="141">
        <v>60428.67</v>
      </c>
      <c r="AN67" s="164">
        <v>60428.67</v>
      </c>
      <c r="AO67" s="151">
        <v>58646.65</v>
      </c>
      <c r="AP67" s="141">
        <v>58646.65</v>
      </c>
      <c r="AQ67" s="141">
        <v>58646.65</v>
      </c>
    </row>
    <row r="68" spans="1:43" ht="46.8" x14ac:dyDescent="0.3">
      <c r="A68" s="23">
        <v>100</v>
      </c>
      <c r="B68" s="23" t="s">
        <v>104</v>
      </c>
      <c r="C68" s="24">
        <v>17</v>
      </c>
      <c r="D68" s="42" t="s">
        <v>128</v>
      </c>
      <c r="E68" s="67">
        <v>0</v>
      </c>
      <c r="F68" s="67">
        <v>0</v>
      </c>
      <c r="G68" s="67">
        <v>0</v>
      </c>
      <c r="H68" s="142">
        <v>0</v>
      </c>
      <c r="I68" s="142">
        <v>0</v>
      </c>
      <c r="J68" s="165">
        <v>0</v>
      </c>
      <c r="K68" s="152">
        <v>0</v>
      </c>
      <c r="L68" s="142">
        <v>0</v>
      </c>
      <c r="M68" s="165">
        <v>0</v>
      </c>
      <c r="N68" s="152">
        <v>0</v>
      </c>
      <c r="O68" s="142">
        <v>0</v>
      </c>
      <c r="P68" s="165">
        <v>0</v>
      </c>
      <c r="Q68" s="152">
        <v>0</v>
      </c>
      <c r="R68" s="142">
        <v>0</v>
      </c>
      <c r="S68" s="165">
        <v>0</v>
      </c>
      <c r="T68" s="152">
        <v>0</v>
      </c>
      <c r="U68" s="142">
        <v>0</v>
      </c>
      <c r="V68" s="165">
        <v>0</v>
      </c>
      <c r="W68" s="152">
        <v>0</v>
      </c>
      <c r="X68" s="142">
        <v>0</v>
      </c>
      <c r="Y68" s="165">
        <v>0</v>
      </c>
      <c r="Z68" s="152">
        <v>0</v>
      </c>
      <c r="AA68" s="142">
        <v>0</v>
      </c>
      <c r="AB68" s="182">
        <v>0</v>
      </c>
      <c r="AC68" s="152">
        <v>0</v>
      </c>
      <c r="AD68" s="143">
        <v>0</v>
      </c>
      <c r="AE68" s="165">
        <v>0</v>
      </c>
      <c r="AF68" s="152">
        <v>0</v>
      </c>
      <c r="AG68" s="143">
        <v>0</v>
      </c>
      <c r="AH68" s="165">
        <v>0</v>
      </c>
      <c r="AI68" s="152">
        <v>0</v>
      </c>
      <c r="AJ68" s="143">
        <v>0</v>
      </c>
      <c r="AK68" s="165">
        <v>0</v>
      </c>
      <c r="AL68" s="152">
        <v>0</v>
      </c>
      <c r="AM68" s="143">
        <v>0</v>
      </c>
      <c r="AN68" s="165">
        <v>0</v>
      </c>
      <c r="AO68" s="152">
        <v>0</v>
      </c>
      <c r="AP68" s="143">
        <v>0</v>
      </c>
      <c r="AQ68" s="143">
        <v>0</v>
      </c>
    </row>
    <row r="69" spans="1:43" x14ac:dyDescent="0.3">
      <c r="A69" s="23">
        <v>100</v>
      </c>
      <c r="B69" s="23" t="s">
        <v>104</v>
      </c>
      <c r="C69" s="24">
        <v>18</v>
      </c>
      <c r="D69" s="25" t="s">
        <v>11</v>
      </c>
      <c r="E69" s="113">
        <v>78169.5</v>
      </c>
      <c r="F69" s="113">
        <v>78169.5</v>
      </c>
      <c r="G69" s="113">
        <v>78169.5</v>
      </c>
      <c r="H69" s="140">
        <v>77506.490000000005</v>
      </c>
      <c r="I69" s="140">
        <v>77506.490000000005</v>
      </c>
      <c r="J69" s="164">
        <v>77506.490000000005</v>
      </c>
      <c r="K69" s="151">
        <v>77879.370000000024</v>
      </c>
      <c r="L69" s="140">
        <v>77879.370000000024</v>
      </c>
      <c r="M69" s="164">
        <v>77879.370000000024</v>
      </c>
      <c r="N69" s="151">
        <v>77202.690000000031</v>
      </c>
      <c r="O69" s="140">
        <v>77202.690000000031</v>
      </c>
      <c r="P69" s="164">
        <v>77202.690000000031</v>
      </c>
      <c r="Q69" s="151">
        <v>76526.660000000018</v>
      </c>
      <c r="R69" s="140">
        <v>76526.660000000018</v>
      </c>
      <c r="S69" s="164">
        <v>76526.660000000018</v>
      </c>
      <c r="T69" s="151">
        <v>75888.750000000029</v>
      </c>
      <c r="U69" s="140">
        <v>75888.750000000029</v>
      </c>
      <c r="V69" s="164">
        <v>75888.750000000029</v>
      </c>
      <c r="W69" s="151">
        <v>75251.840000000026</v>
      </c>
      <c r="X69" s="140">
        <v>75251.840000000026</v>
      </c>
      <c r="Y69" s="164">
        <v>75251.840000000026</v>
      </c>
      <c r="Z69" s="151">
        <v>74616.010000000009</v>
      </c>
      <c r="AA69" s="140">
        <v>74616.010000000009</v>
      </c>
      <c r="AB69" s="185">
        <v>74616.010000000009</v>
      </c>
      <c r="AC69" s="151">
        <v>74079.630000000034</v>
      </c>
      <c r="AD69" s="141">
        <v>74079.630000000034</v>
      </c>
      <c r="AE69" s="164">
        <v>74079.630000000034</v>
      </c>
      <c r="AF69" s="151">
        <v>73543.250000000029</v>
      </c>
      <c r="AG69" s="141">
        <v>73543.250000000029</v>
      </c>
      <c r="AH69" s="164">
        <v>73543.250000000029</v>
      </c>
      <c r="AI69" s="151">
        <v>73006.870000000024</v>
      </c>
      <c r="AJ69" s="141">
        <v>73006.870000000024</v>
      </c>
      <c r="AK69" s="164">
        <v>73006.870000000024</v>
      </c>
      <c r="AL69" s="151">
        <v>72471.610000000015</v>
      </c>
      <c r="AM69" s="141">
        <v>72471.610000000015</v>
      </c>
      <c r="AN69" s="164">
        <v>72471.610000000015</v>
      </c>
      <c r="AO69" s="151">
        <v>71936.900000000023</v>
      </c>
      <c r="AP69" s="141">
        <v>71936.900000000023</v>
      </c>
      <c r="AQ69" s="141">
        <v>71936.900000000023</v>
      </c>
    </row>
    <row r="70" spans="1:43" x14ac:dyDescent="0.3">
      <c r="A70" s="23">
        <v>100</v>
      </c>
      <c r="B70" s="23" t="s">
        <v>104</v>
      </c>
      <c r="C70" s="24">
        <v>19</v>
      </c>
      <c r="D70" s="25" t="s">
        <v>12</v>
      </c>
      <c r="E70" s="113">
        <v>201.99</v>
      </c>
      <c r="F70" s="113">
        <v>201.99</v>
      </c>
      <c r="G70" s="113">
        <v>201.99</v>
      </c>
      <c r="H70" s="140">
        <v>194.37</v>
      </c>
      <c r="I70" s="140">
        <v>194.37</v>
      </c>
      <c r="J70" s="164">
        <v>194.37</v>
      </c>
      <c r="K70" s="151">
        <v>219.88000000000005</v>
      </c>
      <c r="L70" s="140">
        <v>219.88000000000005</v>
      </c>
      <c r="M70" s="164">
        <v>219.88000000000005</v>
      </c>
      <c r="N70" s="151">
        <v>238.34000000000003</v>
      </c>
      <c r="O70" s="140">
        <v>238.34000000000003</v>
      </c>
      <c r="P70" s="164">
        <v>238.34000000000003</v>
      </c>
      <c r="Q70" s="151">
        <v>57.000000000000007</v>
      </c>
      <c r="R70" s="140">
        <v>57.000000000000007</v>
      </c>
      <c r="S70" s="164">
        <v>57.000000000000007</v>
      </c>
      <c r="T70" s="151">
        <v>58.670000000000009</v>
      </c>
      <c r="U70" s="140">
        <v>58.670000000000009</v>
      </c>
      <c r="V70" s="164">
        <v>58.670000000000009</v>
      </c>
      <c r="W70" s="151">
        <v>59.480000000000011</v>
      </c>
      <c r="X70" s="140">
        <v>59.480000000000011</v>
      </c>
      <c r="Y70" s="164">
        <v>59.480000000000011</v>
      </c>
      <c r="Z70" s="151">
        <v>75.97</v>
      </c>
      <c r="AA70" s="140">
        <v>75.97</v>
      </c>
      <c r="AB70" s="185">
        <v>75.97</v>
      </c>
      <c r="AC70" s="151">
        <v>85.78</v>
      </c>
      <c r="AD70" s="141">
        <v>85.78</v>
      </c>
      <c r="AE70" s="164">
        <v>85.78</v>
      </c>
      <c r="AF70" s="151">
        <v>78.150000000000006</v>
      </c>
      <c r="AG70" s="141">
        <v>78.150000000000006</v>
      </c>
      <c r="AH70" s="164">
        <v>78.150000000000006</v>
      </c>
      <c r="AI70" s="151">
        <v>139.52000000000001</v>
      </c>
      <c r="AJ70" s="141">
        <v>139.52000000000001</v>
      </c>
      <c r="AK70" s="164">
        <v>139.52000000000001</v>
      </c>
      <c r="AL70" s="151">
        <v>136.85999999999999</v>
      </c>
      <c r="AM70" s="141">
        <v>136.85999999999999</v>
      </c>
      <c r="AN70" s="164">
        <v>136.85999999999999</v>
      </c>
      <c r="AO70" s="151">
        <v>137.23999999999998</v>
      </c>
      <c r="AP70" s="141">
        <v>137.23999999999998</v>
      </c>
      <c r="AQ70" s="141">
        <v>137.23999999999998</v>
      </c>
    </row>
    <row r="71" spans="1:43" x14ac:dyDescent="0.3">
      <c r="A71" s="23">
        <v>100</v>
      </c>
      <c r="B71" s="23" t="s">
        <v>104</v>
      </c>
      <c r="C71" s="24">
        <v>64</v>
      </c>
      <c r="D71" s="25" t="s">
        <v>31</v>
      </c>
      <c r="E71" s="112">
        <v>0</v>
      </c>
      <c r="F71" s="112">
        <v>0</v>
      </c>
      <c r="G71" s="112">
        <v>0</v>
      </c>
      <c r="H71" s="131">
        <v>0</v>
      </c>
      <c r="I71" s="131">
        <v>0</v>
      </c>
      <c r="J71" s="159">
        <v>0</v>
      </c>
      <c r="K71" s="149">
        <v>0</v>
      </c>
      <c r="L71" s="131">
        <v>0</v>
      </c>
      <c r="M71" s="159">
        <v>0</v>
      </c>
      <c r="N71" s="149">
        <v>0</v>
      </c>
      <c r="O71" s="131">
        <v>0</v>
      </c>
      <c r="P71" s="159">
        <v>0</v>
      </c>
      <c r="Q71" s="149">
        <v>0</v>
      </c>
      <c r="R71" s="131">
        <v>0</v>
      </c>
      <c r="S71" s="159">
        <v>0</v>
      </c>
      <c r="T71" s="149">
        <v>0</v>
      </c>
      <c r="U71" s="131">
        <v>0</v>
      </c>
      <c r="V71" s="159">
        <v>0</v>
      </c>
      <c r="W71" s="149">
        <v>0</v>
      </c>
      <c r="X71" s="131">
        <v>0</v>
      </c>
      <c r="Y71" s="159">
        <v>0</v>
      </c>
      <c r="Z71" s="149">
        <v>0</v>
      </c>
      <c r="AA71" s="131">
        <v>0</v>
      </c>
      <c r="AB71" s="182">
        <v>0</v>
      </c>
      <c r="AC71" s="149">
        <v>0</v>
      </c>
      <c r="AD71" s="132">
        <v>0</v>
      </c>
      <c r="AE71" s="159">
        <v>0</v>
      </c>
      <c r="AF71" s="149">
        <v>0</v>
      </c>
      <c r="AG71" s="132">
        <v>0</v>
      </c>
      <c r="AH71" s="159">
        <v>0</v>
      </c>
      <c r="AI71" s="149">
        <v>0</v>
      </c>
      <c r="AJ71" s="132">
        <v>0</v>
      </c>
      <c r="AK71" s="159">
        <v>0</v>
      </c>
      <c r="AL71" s="149">
        <v>0</v>
      </c>
      <c r="AM71" s="132">
        <v>0</v>
      </c>
      <c r="AN71" s="159">
        <v>0</v>
      </c>
      <c r="AO71" s="149">
        <v>0</v>
      </c>
      <c r="AP71" s="132">
        <v>0</v>
      </c>
      <c r="AQ71" s="132">
        <v>0</v>
      </c>
    </row>
    <row r="72" spans="1:43" x14ac:dyDescent="0.3">
      <c r="A72" s="33" t="s">
        <v>86</v>
      </c>
      <c r="B72" s="33" t="s">
        <v>86</v>
      </c>
      <c r="C72" s="34" t="s">
        <v>86</v>
      </c>
      <c r="D72" s="29" t="s">
        <v>129</v>
      </c>
      <c r="E72" s="64" t="s">
        <v>86</v>
      </c>
      <c r="F72" s="64" t="s">
        <v>86</v>
      </c>
      <c r="G72" s="64">
        <v>1699803.4800000002</v>
      </c>
      <c r="H72" s="135" t="s">
        <v>86</v>
      </c>
      <c r="I72" s="135" t="s">
        <v>86</v>
      </c>
      <c r="J72" s="161">
        <v>1716716.6900000002</v>
      </c>
      <c r="K72" s="136" t="s">
        <v>86</v>
      </c>
      <c r="L72" s="135" t="s">
        <v>86</v>
      </c>
      <c r="M72" s="161">
        <v>1898879.2699999998</v>
      </c>
      <c r="N72" s="136" t="s">
        <v>86</v>
      </c>
      <c r="O72" s="135" t="s">
        <v>86</v>
      </c>
      <c r="P72" s="161">
        <v>1981946.7600000002</v>
      </c>
      <c r="Q72" s="136" t="s">
        <v>86</v>
      </c>
      <c r="R72" s="135" t="s">
        <v>86</v>
      </c>
      <c r="S72" s="161">
        <v>2039907.63</v>
      </c>
      <c r="T72" s="136" t="s">
        <v>86</v>
      </c>
      <c r="U72" s="135" t="s">
        <v>86</v>
      </c>
      <c r="V72" s="161">
        <v>2170117.61</v>
      </c>
      <c r="W72" s="136" t="s">
        <v>86</v>
      </c>
      <c r="X72" s="135" t="s">
        <v>86</v>
      </c>
      <c r="Y72" s="161">
        <v>2266700.9500000002</v>
      </c>
      <c r="Z72" s="136" t="s">
        <v>86</v>
      </c>
      <c r="AA72" s="135" t="s">
        <v>86</v>
      </c>
      <c r="AB72" s="183">
        <v>2248677.1199999996</v>
      </c>
      <c r="AC72" s="136" t="s">
        <v>86</v>
      </c>
      <c r="AD72" s="136" t="s">
        <v>86</v>
      </c>
      <c r="AE72" s="161">
        <v>2422122.2299999995</v>
      </c>
      <c r="AF72" s="136" t="s">
        <v>86</v>
      </c>
      <c r="AG72" s="136" t="s">
        <v>86</v>
      </c>
      <c r="AH72" s="161">
        <v>2394015.66</v>
      </c>
      <c r="AI72" s="136" t="s">
        <v>86</v>
      </c>
      <c r="AJ72" s="136" t="s">
        <v>86</v>
      </c>
      <c r="AK72" s="161">
        <v>2393084.5699999994</v>
      </c>
      <c r="AL72" s="136" t="s">
        <v>86</v>
      </c>
      <c r="AM72" s="136" t="s">
        <v>86</v>
      </c>
      <c r="AN72" s="161">
        <v>2359076.7099999995</v>
      </c>
      <c r="AO72" s="136" t="s">
        <v>86</v>
      </c>
      <c r="AP72" s="136" t="s">
        <v>86</v>
      </c>
      <c r="AQ72" s="136">
        <v>2365080.4499999997</v>
      </c>
    </row>
    <row r="73" spans="1:43" ht="7.5" customHeight="1" x14ac:dyDescent="0.3">
      <c r="D73" s="39"/>
      <c r="E73" s="39"/>
      <c r="F73" s="39"/>
      <c r="G73" s="39"/>
      <c r="H73" s="39"/>
      <c r="I73" s="39"/>
      <c r="J73" s="166"/>
      <c r="K73" s="39"/>
      <c r="L73" s="39"/>
      <c r="M73" s="166"/>
      <c r="N73" s="39"/>
      <c r="O73" s="39"/>
      <c r="P73" s="166"/>
      <c r="Q73" s="39"/>
      <c r="R73" s="39"/>
      <c r="S73" s="166"/>
      <c r="T73" s="39"/>
      <c r="U73" s="39"/>
      <c r="V73" s="166"/>
      <c r="W73" s="39"/>
      <c r="X73" s="39"/>
      <c r="Y73" s="166"/>
      <c r="Z73" s="39"/>
      <c r="AA73" s="39"/>
      <c r="AB73" s="166"/>
      <c r="AC73" s="39"/>
      <c r="AD73" s="39"/>
      <c r="AE73" s="166"/>
      <c r="AF73" s="39"/>
      <c r="AG73" s="39"/>
      <c r="AH73" s="166"/>
      <c r="AI73" s="39"/>
      <c r="AJ73" s="39"/>
      <c r="AK73" s="166"/>
      <c r="AL73" s="39"/>
      <c r="AM73" s="39"/>
      <c r="AN73" s="166"/>
      <c r="AO73" s="39"/>
      <c r="AP73" s="39"/>
      <c r="AQ73" s="39"/>
    </row>
    <row r="74" spans="1:43" x14ac:dyDescent="0.3">
      <c r="A74" t="s">
        <v>86</v>
      </c>
      <c r="B74" t="s">
        <v>86</v>
      </c>
      <c r="C74" s="192" t="s">
        <v>130</v>
      </c>
      <c r="D74" s="193" t="s">
        <v>86</v>
      </c>
      <c r="G74" t="s">
        <v>228</v>
      </c>
      <c r="J74" s="167" t="s">
        <v>224</v>
      </c>
      <c r="M74" s="167" t="s">
        <v>225</v>
      </c>
      <c r="P74" s="167" t="s">
        <v>226</v>
      </c>
      <c r="S74" s="167" t="s">
        <v>227</v>
      </c>
      <c r="V74" s="167" t="s">
        <v>230</v>
      </c>
      <c r="Y74" s="167" t="s">
        <v>229</v>
      </c>
      <c r="AB74" s="167" t="s">
        <v>231</v>
      </c>
      <c r="AE74" s="167" t="s">
        <v>232</v>
      </c>
      <c r="AH74" s="167" t="s">
        <v>233</v>
      </c>
      <c r="AK74" s="167" t="s">
        <v>234</v>
      </c>
      <c r="AN74" s="167" t="s">
        <v>219</v>
      </c>
      <c r="AQ74" t="s">
        <v>228</v>
      </c>
    </row>
    <row r="75" spans="1:43" x14ac:dyDescent="0.3">
      <c r="C75" s="43" t="s">
        <v>80</v>
      </c>
      <c r="D75" s="47" t="s">
        <v>131</v>
      </c>
      <c r="E75" s="54"/>
      <c r="F75" s="54"/>
      <c r="G75" s="54">
        <v>434071.5</v>
      </c>
      <c r="H75" s="54"/>
      <c r="I75" s="54"/>
      <c r="J75" s="168">
        <v>437076.17</v>
      </c>
      <c r="K75" s="54"/>
      <c r="L75" s="54"/>
      <c r="M75" s="168">
        <v>448938.17</v>
      </c>
      <c r="N75" s="54"/>
      <c r="O75" s="54"/>
      <c r="P75" s="168">
        <v>478095.33</v>
      </c>
      <c r="Q75" s="54"/>
      <c r="R75" s="54"/>
      <c r="S75" s="168">
        <v>479027.33</v>
      </c>
      <c r="T75" s="54"/>
      <c r="U75" s="54"/>
      <c r="V75" s="168">
        <v>480723.33</v>
      </c>
      <c r="W75" s="54"/>
      <c r="X75" s="54"/>
      <c r="Y75" s="168">
        <v>481684.08</v>
      </c>
      <c r="Z75" s="54"/>
      <c r="AA75" s="54"/>
      <c r="AB75" s="168">
        <v>485457.58</v>
      </c>
      <c r="AC75" s="54"/>
      <c r="AD75" s="54"/>
      <c r="AE75" s="168">
        <v>488295.97000000003</v>
      </c>
      <c r="AF75" s="54"/>
      <c r="AG75" s="54"/>
      <c r="AH75" s="168">
        <v>487824.28</v>
      </c>
      <c r="AI75" s="54"/>
      <c r="AJ75" s="54"/>
      <c r="AK75" s="168">
        <v>494837.19</v>
      </c>
      <c r="AL75" s="54"/>
      <c r="AM75" s="54"/>
      <c r="AN75" s="168">
        <v>495920.39</v>
      </c>
      <c r="AO75" s="54"/>
      <c r="AP75" s="54"/>
      <c r="AQ75" s="54">
        <v>505140.25</v>
      </c>
    </row>
    <row r="76" spans="1:43" x14ac:dyDescent="0.3">
      <c r="C76" s="43" t="s">
        <v>81</v>
      </c>
      <c r="D76" s="47" t="s">
        <v>132</v>
      </c>
      <c r="E76" s="54"/>
      <c r="F76" s="54"/>
      <c r="G76" s="54">
        <v>27602.200999999997</v>
      </c>
      <c r="H76" s="54"/>
      <c r="I76" s="54"/>
      <c r="J76" s="168">
        <v>23670.186000000002</v>
      </c>
      <c r="K76" s="54"/>
      <c r="L76" s="54"/>
      <c r="M76" s="168">
        <v>24056.935999999991</v>
      </c>
      <c r="N76" s="54"/>
      <c r="O76" s="54"/>
      <c r="P76" s="168">
        <v>24848.681</v>
      </c>
      <c r="Q76" s="54"/>
      <c r="R76" s="54"/>
      <c r="S76" s="168">
        <v>23848.185999999998</v>
      </c>
      <c r="T76" s="54"/>
      <c r="U76" s="54"/>
      <c r="V76" s="168">
        <v>23829.62100000001</v>
      </c>
      <c r="W76" s="54"/>
      <c r="X76" s="54"/>
      <c r="Y76" s="168">
        <v>23824.740999999991</v>
      </c>
      <c r="Z76" s="54"/>
      <c r="AA76" s="54"/>
      <c r="AB76" s="168">
        <v>23854.310999999983</v>
      </c>
      <c r="AC76" s="54"/>
      <c r="AD76" s="54"/>
      <c r="AE76" s="168">
        <v>23863.380999999961</v>
      </c>
      <c r="AF76" s="54"/>
      <c r="AG76" s="54"/>
      <c r="AH76" s="168">
        <v>24074.436000000012</v>
      </c>
      <c r="AI76" s="54"/>
      <c r="AJ76" s="54"/>
      <c r="AK76" s="168">
        <v>25176.366000000005</v>
      </c>
      <c r="AL76" s="54"/>
      <c r="AM76" s="54"/>
      <c r="AN76" s="168">
        <v>25623.836000000007</v>
      </c>
      <c r="AO76" s="54"/>
      <c r="AP76" s="54"/>
      <c r="AQ76" s="54">
        <v>26040.416000000023</v>
      </c>
    </row>
    <row r="77" spans="1:43" x14ac:dyDescent="0.3">
      <c r="C77" s="43" t="s">
        <v>82</v>
      </c>
      <c r="D77" s="47" t="s">
        <v>133</v>
      </c>
      <c r="E77" s="54"/>
      <c r="F77" s="54"/>
      <c r="G77" s="54">
        <v>461673.701</v>
      </c>
      <c r="H77" s="54"/>
      <c r="I77" s="54"/>
      <c r="J77" s="168">
        <v>460746.35599999997</v>
      </c>
      <c r="K77" s="54"/>
      <c r="L77" s="54"/>
      <c r="M77" s="168">
        <v>472995.10599999997</v>
      </c>
      <c r="N77" s="54"/>
      <c r="O77" s="54"/>
      <c r="P77" s="168">
        <v>502944.011</v>
      </c>
      <c r="Q77" s="54"/>
      <c r="R77" s="54"/>
      <c r="S77" s="168">
        <v>502875.516</v>
      </c>
      <c r="T77" s="54"/>
      <c r="U77" s="54"/>
      <c r="V77" s="168">
        <v>504552.951</v>
      </c>
      <c r="W77" s="54"/>
      <c r="X77" s="54"/>
      <c r="Y77" s="168">
        <v>505508.821</v>
      </c>
      <c r="Z77" s="54"/>
      <c r="AA77" s="54"/>
      <c r="AB77" s="168">
        <v>509311.891</v>
      </c>
      <c r="AC77" s="54"/>
      <c r="AD77" s="54"/>
      <c r="AE77" s="168">
        <v>512159.35099999997</v>
      </c>
      <c r="AF77" s="54"/>
      <c r="AG77" s="54"/>
      <c r="AH77" s="168">
        <v>511898.71600000001</v>
      </c>
      <c r="AI77" s="54"/>
      <c r="AJ77" s="54"/>
      <c r="AK77" s="168">
        <v>520013.55599999998</v>
      </c>
      <c r="AL77" s="54"/>
      <c r="AM77" s="54"/>
      <c r="AN77" s="168">
        <v>521544.22600000002</v>
      </c>
      <c r="AO77" s="54"/>
      <c r="AP77" s="54"/>
      <c r="AQ77" s="54">
        <v>531180.66599999997</v>
      </c>
    </row>
    <row r="78" spans="1:43" ht="4.5" customHeight="1" x14ac:dyDescent="0.3">
      <c r="J78" s="167"/>
      <c r="M78" s="167"/>
      <c r="P78" s="167"/>
      <c r="S78" s="167"/>
      <c r="V78" s="167"/>
      <c r="Y78" s="167"/>
      <c r="AB78" s="167"/>
      <c r="AE78" s="167"/>
      <c r="AH78" s="167"/>
      <c r="AK78" s="167"/>
      <c r="AN78" s="167"/>
    </row>
    <row r="79" spans="1:43" x14ac:dyDescent="0.3">
      <c r="A79" s="189" t="s">
        <v>134</v>
      </c>
      <c r="B79" s="187"/>
      <c r="C79" s="187"/>
      <c r="D79" s="187"/>
      <c r="J79" s="167"/>
      <c r="M79" s="167"/>
      <c r="P79" s="167"/>
      <c r="S79" s="167"/>
      <c r="V79" s="167"/>
      <c r="Y79" s="167"/>
      <c r="AB79" s="167"/>
      <c r="AE79" s="167"/>
      <c r="AH79" s="167"/>
      <c r="AK79" s="167"/>
      <c r="AN79" s="167"/>
    </row>
    <row r="80" spans="1:43" ht="9" customHeight="1" x14ac:dyDescent="0.3">
      <c r="J80" s="167"/>
      <c r="M80" s="167"/>
      <c r="P80" s="167"/>
      <c r="S80" s="167"/>
      <c r="V80" s="167"/>
      <c r="Y80" s="167"/>
      <c r="AB80" s="167"/>
      <c r="AE80" s="167"/>
      <c r="AH80" s="167"/>
      <c r="AK80" s="167"/>
      <c r="AN80" s="167"/>
    </row>
    <row r="81" spans="3:43" x14ac:dyDescent="0.3">
      <c r="C81" s="22" t="s">
        <v>97</v>
      </c>
      <c r="D81" s="22" t="s">
        <v>100</v>
      </c>
      <c r="E81" s="51"/>
      <c r="F81" s="51"/>
      <c r="G81" s="51" t="s">
        <v>103</v>
      </c>
      <c r="H81" s="51"/>
      <c r="I81" s="51"/>
      <c r="J81" s="169" t="s">
        <v>103</v>
      </c>
      <c r="K81" s="51"/>
      <c r="L81" s="51"/>
      <c r="M81" s="169" t="s">
        <v>103</v>
      </c>
      <c r="N81" s="51"/>
      <c r="O81" s="51"/>
      <c r="P81" s="169" t="s">
        <v>103</v>
      </c>
      <c r="Q81" s="51"/>
      <c r="R81" s="51"/>
      <c r="S81" s="169" t="s">
        <v>103</v>
      </c>
      <c r="T81" s="51"/>
      <c r="U81" s="51"/>
      <c r="V81" s="169" t="s">
        <v>103</v>
      </c>
      <c r="W81" s="51"/>
      <c r="X81" s="51"/>
      <c r="Y81" s="169" t="s">
        <v>103</v>
      </c>
      <c r="Z81" s="51"/>
      <c r="AA81" s="51"/>
      <c r="AB81" s="169" t="s">
        <v>103</v>
      </c>
      <c r="AC81" s="51"/>
      <c r="AD81" s="51"/>
      <c r="AE81" s="169" t="s">
        <v>103</v>
      </c>
      <c r="AF81" s="51"/>
      <c r="AG81" s="51"/>
      <c r="AH81" s="169" t="s">
        <v>103</v>
      </c>
      <c r="AI81" s="51"/>
      <c r="AJ81" s="51"/>
      <c r="AK81" s="169" t="s">
        <v>103</v>
      </c>
      <c r="AL81" s="51"/>
      <c r="AM81" s="51"/>
      <c r="AN81" s="169" t="s">
        <v>103</v>
      </c>
      <c r="AO81" s="51"/>
      <c r="AP81" s="51"/>
      <c r="AQ81" s="51" t="s">
        <v>103</v>
      </c>
    </row>
    <row r="82" spans="3:43" x14ac:dyDescent="0.3">
      <c r="C82" s="23">
        <v>0</v>
      </c>
      <c r="D82" s="24" t="s">
        <v>135</v>
      </c>
      <c r="E82" s="53"/>
      <c r="F82" s="53"/>
      <c r="G82" s="53">
        <v>0</v>
      </c>
      <c r="H82" s="53"/>
      <c r="I82" s="53"/>
      <c r="J82" s="170">
        <v>0</v>
      </c>
      <c r="K82" s="53"/>
      <c r="L82" s="53"/>
      <c r="M82" s="170">
        <v>0</v>
      </c>
      <c r="N82" s="53"/>
      <c r="O82" s="53"/>
      <c r="P82" s="170">
        <v>0</v>
      </c>
      <c r="Q82" s="53"/>
      <c r="R82" s="53"/>
      <c r="S82" s="170">
        <v>0</v>
      </c>
      <c r="T82" s="53"/>
      <c r="U82" s="53"/>
      <c r="V82" s="170">
        <v>0</v>
      </c>
      <c r="W82" s="53"/>
      <c r="X82" s="53"/>
      <c r="Y82" s="170">
        <v>0</v>
      </c>
      <c r="Z82" s="53"/>
      <c r="AA82" s="53"/>
      <c r="AB82" s="170">
        <v>0</v>
      </c>
      <c r="AC82" s="53"/>
      <c r="AD82" s="53"/>
      <c r="AE82" s="170">
        <v>0</v>
      </c>
      <c r="AF82" s="53"/>
      <c r="AG82" s="53"/>
      <c r="AH82" s="170">
        <v>0</v>
      </c>
      <c r="AI82" s="53"/>
      <c r="AJ82" s="53"/>
      <c r="AK82" s="170">
        <v>0</v>
      </c>
      <c r="AL82" s="53"/>
      <c r="AM82" s="53"/>
      <c r="AN82" s="170">
        <v>0</v>
      </c>
      <c r="AO82" s="53"/>
      <c r="AP82" s="53"/>
      <c r="AQ82" s="53">
        <v>0</v>
      </c>
    </row>
    <row r="83" spans="3:43" x14ac:dyDescent="0.3">
      <c r="C83" s="23">
        <v>20</v>
      </c>
      <c r="D83" s="24" t="s">
        <v>136</v>
      </c>
      <c r="E83" s="53"/>
      <c r="F83" s="53"/>
      <c r="G83" s="53">
        <v>0</v>
      </c>
      <c r="H83" s="53"/>
      <c r="I83" s="53"/>
      <c r="J83" s="170">
        <v>0</v>
      </c>
      <c r="K83" s="53"/>
      <c r="L83" s="53"/>
      <c r="M83" s="170">
        <v>0</v>
      </c>
      <c r="N83" s="53"/>
      <c r="O83" s="53"/>
      <c r="P83" s="170">
        <v>0</v>
      </c>
      <c r="Q83" s="53"/>
      <c r="R83" s="53"/>
      <c r="S83" s="170">
        <v>0</v>
      </c>
      <c r="T83" s="53"/>
      <c r="U83" s="53"/>
      <c r="V83" s="170">
        <v>0</v>
      </c>
      <c r="W83" s="53"/>
      <c r="X83" s="53"/>
      <c r="Y83" s="170">
        <v>0</v>
      </c>
      <c r="Z83" s="53"/>
      <c r="AA83" s="53"/>
      <c r="AB83" s="170">
        <v>0</v>
      </c>
      <c r="AC83" s="53"/>
      <c r="AD83" s="53"/>
      <c r="AE83" s="170">
        <v>0</v>
      </c>
      <c r="AF83" s="53"/>
      <c r="AG83" s="53"/>
      <c r="AH83" s="170">
        <v>0</v>
      </c>
      <c r="AI83" s="53"/>
      <c r="AJ83" s="53"/>
      <c r="AK83" s="170">
        <v>0</v>
      </c>
      <c r="AL83" s="53"/>
      <c r="AM83" s="53"/>
      <c r="AN83" s="170">
        <v>0</v>
      </c>
      <c r="AO83" s="53"/>
      <c r="AP83" s="53"/>
      <c r="AQ83" s="53">
        <v>0</v>
      </c>
    </row>
    <row r="84" spans="3:43" x14ac:dyDescent="0.3">
      <c r="C84" s="23">
        <v>50</v>
      </c>
      <c r="D84" s="24" t="s">
        <v>137</v>
      </c>
      <c r="E84" s="53"/>
      <c r="F84" s="53"/>
      <c r="G84" s="53">
        <v>0</v>
      </c>
      <c r="H84" s="53"/>
      <c r="I84" s="53"/>
      <c r="J84" s="170">
        <v>0</v>
      </c>
      <c r="K84" s="53"/>
      <c r="L84" s="53"/>
      <c r="M84" s="170">
        <v>0</v>
      </c>
      <c r="N84" s="53"/>
      <c r="O84" s="53"/>
      <c r="P84" s="170">
        <v>0</v>
      </c>
      <c r="Q84" s="53"/>
      <c r="R84" s="53"/>
      <c r="S84" s="170">
        <v>0</v>
      </c>
      <c r="T84" s="53"/>
      <c r="U84" s="53"/>
      <c r="V84" s="170">
        <v>0</v>
      </c>
      <c r="W84" s="53"/>
      <c r="X84" s="53"/>
      <c r="Y84" s="170">
        <v>0</v>
      </c>
      <c r="Z84" s="53"/>
      <c r="AA84" s="53"/>
      <c r="AB84" s="170">
        <v>0</v>
      </c>
      <c r="AC84" s="53"/>
      <c r="AD84" s="53"/>
      <c r="AE84" s="170">
        <v>0</v>
      </c>
      <c r="AF84" s="53"/>
      <c r="AG84" s="53"/>
      <c r="AH84" s="170">
        <v>0</v>
      </c>
      <c r="AI84" s="53"/>
      <c r="AJ84" s="53"/>
      <c r="AK84" s="170">
        <v>0</v>
      </c>
      <c r="AL84" s="53"/>
      <c r="AM84" s="53"/>
      <c r="AN84" s="170">
        <v>0</v>
      </c>
      <c r="AO84" s="53"/>
      <c r="AP84" s="53"/>
      <c r="AQ84" s="53">
        <v>0</v>
      </c>
    </row>
    <row r="85" spans="3:43" x14ac:dyDescent="0.3">
      <c r="C85" s="23">
        <v>100</v>
      </c>
      <c r="D85" s="24" t="s">
        <v>138</v>
      </c>
      <c r="E85" s="52"/>
      <c r="F85" s="52"/>
      <c r="G85" s="52">
        <v>1699803.4800000002</v>
      </c>
      <c r="H85" s="52"/>
      <c r="I85" s="52"/>
      <c r="J85" s="171">
        <v>1716716.6900000002</v>
      </c>
      <c r="K85" s="52"/>
      <c r="L85" s="52"/>
      <c r="M85" s="171">
        <v>1898879.2699999998</v>
      </c>
      <c r="N85" s="52"/>
      <c r="O85" s="52"/>
      <c r="P85" s="171">
        <v>1981946.7600000002</v>
      </c>
      <c r="Q85" s="52"/>
      <c r="R85" s="52"/>
      <c r="S85" s="171">
        <v>2039907.63</v>
      </c>
      <c r="T85" s="52"/>
      <c r="U85" s="52"/>
      <c r="V85" s="171">
        <v>2170117.61</v>
      </c>
      <c r="W85" s="52"/>
      <c r="X85" s="52"/>
      <c r="Y85" s="171">
        <v>2266700.9500000002</v>
      </c>
      <c r="Z85" s="52"/>
      <c r="AA85" s="52"/>
      <c r="AB85" s="171">
        <v>2248677.1199999996</v>
      </c>
      <c r="AC85" s="52"/>
      <c r="AD85" s="52"/>
      <c r="AE85" s="171">
        <v>2422122.2299999995</v>
      </c>
      <c r="AF85" s="52"/>
      <c r="AG85" s="52"/>
      <c r="AH85" s="171">
        <v>2394015.66</v>
      </c>
      <c r="AI85" s="52"/>
      <c r="AJ85" s="52"/>
      <c r="AK85" s="171">
        <v>2393084.5699999994</v>
      </c>
      <c r="AL85" s="52"/>
      <c r="AM85" s="52"/>
      <c r="AN85" s="171">
        <v>2359076.7099999995</v>
      </c>
      <c r="AO85" s="52"/>
      <c r="AP85" s="52"/>
      <c r="AQ85" s="52">
        <v>2365080.4499999997</v>
      </c>
    </row>
    <row r="86" spans="3:43" x14ac:dyDescent="0.3">
      <c r="C86" s="23" t="s">
        <v>83</v>
      </c>
      <c r="D86" s="24" t="s">
        <v>139</v>
      </c>
      <c r="E86" s="52"/>
      <c r="F86" s="52"/>
      <c r="G86" s="52">
        <v>1699803.4800000002</v>
      </c>
      <c r="H86" s="52"/>
      <c r="I86" s="52"/>
      <c r="J86" s="171">
        <v>1716716.6900000002</v>
      </c>
      <c r="K86" s="52"/>
      <c r="L86" s="52"/>
      <c r="M86" s="171">
        <v>1898879.2699999998</v>
      </c>
      <c r="N86" s="52"/>
      <c r="O86" s="52"/>
      <c r="P86" s="171">
        <v>1981946.7600000002</v>
      </c>
      <c r="Q86" s="52"/>
      <c r="R86" s="52"/>
      <c r="S86" s="171">
        <v>2039907.63</v>
      </c>
      <c r="T86" s="52"/>
      <c r="U86" s="52"/>
      <c r="V86" s="171">
        <v>2170117.61</v>
      </c>
      <c r="W86" s="52"/>
      <c r="X86" s="52"/>
      <c r="Y86" s="171">
        <v>2266700.9500000002</v>
      </c>
      <c r="Z86" s="52"/>
      <c r="AA86" s="52"/>
      <c r="AB86" s="171">
        <v>2248677.1199999996</v>
      </c>
      <c r="AC86" s="52"/>
      <c r="AD86" s="52"/>
      <c r="AE86" s="171">
        <v>2422122.2299999995</v>
      </c>
      <c r="AF86" s="52"/>
      <c r="AG86" s="52"/>
      <c r="AH86" s="171">
        <v>2394015.66</v>
      </c>
      <c r="AI86" s="52"/>
      <c r="AJ86" s="52"/>
      <c r="AK86" s="171">
        <v>2393084.5699999994</v>
      </c>
      <c r="AL86" s="52"/>
      <c r="AM86" s="52"/>
      <c r="AN86" s="171">
        <v>2359076.7099999995</v>
      </c>
      <c r="AO86" s="52"/>
      <c r="AP86" s="52"/>
      <c r="AQ86" s="52">
        <v>2365080.4499999997</v>
      </c>
    </row>
    <row r="87" spans="3:43" ht="3.75" customHeight="1" x14ac:dyDescent="0.3">
      <c r="C87" s="44"/>
      <c r="D87" s="21"/>
      <c r="E87" s="45"/>
      <c r="F87" s="45"/>
      <c r="G87" s="45"/>
      <c r="H87" s="45"/>
      <c r="I87" s="45"/>
      <c r="J87" s="172"/>
      <c r="K87" s="45"/>
      <c r="L87" s="45"/>
      <c r="M87" s="172"/>
      <c r="N87" s="45"/>
      <c r="O87" s="45"/>
      <c r="P87" s="172"/>
      <c r="Q87" s="45"/>
      <c r="R87" s="45"/>
      <c r="S87" s="172"/>
      <c r="T87" s="45"/>
      <c r="U87" s="45"/>
      <c r="V87" s="172"/>
      <c r="W87" s="45"/>
      <c r="X87" s="45"/>
      <c r="Y87" s="172"/>
      <c r="Z87" s="45"/>
      <c r="AA87" s="45"/>
      <c r="AB87" s="172"/>
      <c r="AC87" s="45"/>
      <c r="AD87" s="45"/>
      <c r="AE87" s="172"/>
      <c r="AF87" s="45"/>
      <c r="AG87" s="45"/>
      <c r="AH87" s="172"/>
      <c r="AI87" s="45"/>
      <c r="AJ87" s="45"/>
      <c r="AK87" s="172"/>
      <c r="AL87" s="45"/>
      <c r="AM87" s="45"/>
      <c r="AN87" s="172"/>
      <c r="AO87" s="45"/>
      <c r="AP87" s="45"/>
      <c r="AQ87" s="45"/>
    </row>
    <row r="88" spans="3:43" x14ac:dyDescent="0.3">
      <c r="C88" s="191" t="s">
        <v>140</v>
      </c>
      <c r="D88" s="187"/>
      <c r="J88" s="167"/>
      <c r="M88" s="167"/>
      <c r="P88" s="167"/>
      <c r="S88" s="167"/>
      <c r="V88" s="167"/>
      <c r="Y88" s="167"/>
      <c r="AB88" s="167"/>
      <c r="AE88" s="167"/>
      <c r="AH88" s="167"/>
      <c r="AK88" s="167"/>
      <c r="AN88" s="167"/>
    </row>
    <row r="89" spans="3:43" x14ac:dyDescent="0.3">
      <c r="C89" s="46" t="s">
        <v>141</v>
      </c>
      <c r="D89" s="48" t="s">
        <v>142</v>
      </c>
      <c r="E89" s="56"/>
      <c r="F89" s="56"/>
      <c r="G89" s="56">
        <v>0.27160416273532983</v>
      </c>
      <c r="H89" s="56"/>
      <c r="I89" s="56"/>
      <c r="J89" s="173">
        <v>0.26838811475643071</v>
      </c>
      <c r="K89" s="56"/>
      <c r="L89" s="56"/>
      <c r="M89" s="173">
        <v>0.24909172134993079</v>
      </c>
      <c r="N89" s="56"/>
      <c r="O89" s="56"/>
      <c r="P89" s="173">
        <v>0.25376262427957447</v>
      </c>
      <c r="Q89" s="56"/>
      <c r="R89" s="56"/>
      <c r="S89" s="173">
        <v>0.24651876810716181</v>
      </c>
      <c r="T89" s="56"/>
      <c r="U89" s="56"/>
      <c r="V89" s="173">
        <v>0.23250027955858119</v>
      </c>
      <c r="W89" s="56"/>
      <c r="X89" s="56"/>
      <c r="Y89" s="173">
        <v>0.22301522439473101</v>
      </c>
      <c r="Z89" s="56"/>
      <c r="AA89" s="56"/>
      <c r="AB89" s="173">
        <v>0.22649400684078649</v>
      </c>
      <c r="AC89" s="56"/>
      <c r="AD89" s="56"/>
      <c r="AE89" s="173">
        <v>0.21145066283463326</v>
      </c>
      <c r="AF89" s="56"/>
      <c r="AG89" s="56"/>
      <c r="AH89" s="173">
        <v>0.21382429720614274</v>
      </c>
      <c r="AI89" s="56"/>
      <c r="AJ89" s="56"/>
      <c r="AK89" s="173">
        <v>0.21729844507751772</v>
      </c>
      <c r="AL89" s="56"/>
      <c r="AM89" s="56"/>
      <c r="AN89" s="173">
        <v>0.22107980795588464</v>
      </c>
      <c r="AO89" s="56"/>
      <c r="AP89" s="56"/>
      <c r="AQ89" s="56">
        <v>0.22459306447693989</v>
      </c>
    </row>
    <row r="90" spans="3:43" x14ac:dyDescent="0.3">
      <c r="C90" s="46" t="s">
        <v>143</v>
      </c>
      <c r="D90" s="48" t="s">
        <v>144</v>
      </c>
      <c r="E90" s="58"/>
      <c r="F90" s="58"/>
      <c r="G90" s="58">
        <v>0.09</v>
      </c>
      <c r="H90" s="58"/>
      <c r="I90" s="58"/>
      <c r="J90" s="174">
        <v>0.09</v>
      </c>
      <c r="K90" s="58"/>
      <c r="L90" s="58"/>
      <c r="M90" s="174">
        <v>0.09</v>
      </c>
      <c r="N90" s="58"/>
      <c r="O90" s="58"/>
      <c r="P90" s="174">
        <v>0.09</v>
      </c>
      <c r="Q90" s="58"/>
      <c r="R90" s="58"/>
      <c r="S90" s="174">
        <v>0.09</v>
      </c>
      <c r="T90" s="58"/>
      <c r="U90" s="58"/>
      <c r="V90" s="174">
        <v>0.09</v>
      </c>
      <c r="W90" s="58"/>
      <c r="X90" s="58"/>
      <c r="Y90" s="174">
        <v>0.09</v>
      </c>
      <c r="Z90" s="58"/>
      <c r="AA90" s="58"/>
      <c r="AB90" s="174">
        <v>0.09</v>
      </c>
      <c r="AC90" s="58"/>
      <c r="AD90" s="58"/>
      <c r="AE90" s="174">
        <v>0.09</v>
      </c>
      <c r="AF90" s="58"/>
      <c r="AG90" s="58"/>
      <c r="AH90" s="174">
        <v>0.09</v>
      </c>
      <c r="AI90" s="58"/>
      <c r="AJ90" s="58"/>
      <c r="AK90" s="174">
        <v>0.09</v>
      </c>
      <c r="AL90" s="58"/>
      <c r="AM90" s="58"/>
      <c r="AN90" s="174">
        <v>0.09</v>
      </c>
      <c r="AO90" s="58"/>
      <c r="AP90" s="58"/>
      <c r="AQ90" s="58">
        <v>0.09</v>
      </c>
    </row>
    <row r="91" spans="3:43" x14ac:dyDescent="0.3">
      <c r="C91" s="46" t="s">
        <v>145</v>
      </c>
      <c r="D91" s="48" t="s">
        <v>146</v>
      </c>
      <c r="E91" s="52"/>
      <c r="F91" s="52"/>
      <c r="G91" s="52">
        <v>152982.3132</v>
      </c>
      <c r="H91" s="52"/>
      <c r="I91" s="52"/>
      <c r="J91" s="171">
        <v>154504.50210000001</v>
      </c>
      <c r="K91" s="52"/>
      <c r="L91" s="52"/>
      <c r="M91" s="171">
        <v>170899.13429999998</v>
      </c>
      <c r="N91" s="52"/>
      <c r="O91" s="52"/>
      <c r="P91" s="171">
        <v>178375.2084</v>
      </c>
      <c r="Q91" s="52"/>
      <c r="R91" s="52"/>
      <c r="S91" s="171">
        <v>183591.68669999999</v>
      </c>
      <c r="T91" s="52"/>
      <c r="U91" s="52"/>
      <c r="V91" s="171">
        <v>195310.58489999999</v>
      </c>
      <c r="W91" s="52"/>
      <c r="X91" s="52"/>
      <c r="Y91" s="171">
        <v>204003.08550000002</v>
      </c>
      <c r="Z91" s="52"/>
      <c r="AA91" s="52"/>
      <c r="AB91" s="171">
        <v>202380.94079999995</v>
      </c>
      <c r="AC91" s="52"/>
      <c r="AD91" s="52"/>
      <c r="AE91" s="171">
        <v>217991.00069999995</v>
      </c>
      <c r="AF91" s="52"/>
      <c r="AG91" s="52"/>
      <c r="AH91" s="171">
        <v>215461.4094</v>
      </c>
      <c r="AI91" s="52"/>
      <c r="AJ91" s="52"/>
      <c r="AK91" s="171">
        <v>215377.61129999993</v>
      </c>
      <c r="AL91" s="52"/>
      <c r="AM91" s="52"/>
      <c r="AN91" s="171">
        <v>212316.90389999995</v>
      </c>
      <c r="AO91" s="52"/>
      <c r="AP91" s="52"/>
      <c r="AQ91" s="52">
        <v>212857.24049999996</v>
      </c>
    </row>
    <row r="92" spans="3:43" x14ac:dyDescent="0.3">
      <c r="C92" s="46" t="s">
        <v>147</v>
      </c>
      <c r="D92" s="48" t="s">
        <v>148</v>
      </c>
      <c r="E92" s="57"/>
      <c r="F92" s="57"/>
      <c r="G92" s="57">
        <v>308691.38780000003</v>
      </c>
      <c r="H92" s="57"/>
      <c r="I92" s="57"/>
      <c r="J92" s="175">
        <v>306241.85389999999</v>
      </c>
      <c r="K92" s="57"/>
      <c r="L92" s="57"/>
      <c r="M92" s="175">
        <v>302095.97169999999</v>
      </c>
      <c r="N92" s="57"/>
      <c r="O92" s="57"/>
      <c r="P92" s="175">
        <v>324568.8026</v>
      </c>
      <c r="Q92" s="57"/>
      <c r="R92" s="57"/>
      <c r="S92" s="175">
        <v>319283.82929999998</v>
      </c>
      <c r="T92" s="57"/>
      <c r="U92" s="57"/>
      <c r="V92" s="175">
        <v>309242.36609999998</v>
      </c>
      <c r="W92" s="57"/>
      <c r="X92" s="57"/>
      <c r="Y92" s="175">
        <v>301505.73549999995</v>
      </c>
      <c r="Z92" s="57"/>
      <c r="AA92" s="57"/>
      <c r="AB92" s="175">
        <v>306930.95020000008</v>
      </c>
      <c r="AC92" s="57"/>
      <c r="AD92" s="57"/>
      <c r="AE92" s="175">
        <v>294168.35030000005</v>
      </c>
      <c r="AF92" s="57"/>
      <c r="AG92" s="57"/>
      <c r="AH92" s="175">
        <v>296437.30660000001</v>
      </c>
      <c r="AI92" s="57"/>
      <c r="AJ92" s="57"/>
      <c r="AK92" s="175">
        <v>304635.94470000005</v>
      </c>
      <c r="AL92" s="57"/>
      <c r="AM92" s="57"/>
      <c r="AN92" s="175">
        <v>309227.32210000011</v>
      </c>
      <c r="AO92" s="57"/>
      <c r="AP92" s="57"/>
      <c r="AQ92" s="57">
        <v>318323.42550000001</v>
      </c>
    </row>
    <row r="97" spans="5:43" x14ac:dyDescent="0.3">
      <c r="G97">
        <v>69251.05515</v>
      </c>
      <c r="J97">
        <v>69111.953399999999</v>
      </c>
      <c r="M97">
        <v>70949.265899999999</v>
      </c>
      <c r="P97">
        <v>75441.601649999997</v>
      </c>
      <c r="S97">
        <v>75431.327399999995</v>
      </c>
      <c r="V97">
        <v>75682.942649999997</v>
      </c>
      <c r="Y97">
        <v>75826.323149999997</v>
      </c>
      <c r="AB97">
        <v>76396.783649999998</v>
      </c>
      <c r="AE97">
        <v>76823.902649999989</v>
      </c>
      <c r="AH97">
        <v>76784.807400000005</v>
      </c>
      <c r="AK97">
        <v>78002.0334</v>
      </c>
      <c r="AN97">
        <v>78231.633900000001</v>
      </c>
      <c r="AQ97">
        <v>79677.099899999987</v>
      </c>
    </row>
    <row r="99" spans="5:43" x14ac:dyDescent="0.3">
      <c r="E99" s="60"/>
      <c r="F99" s="60"/>
      <c r="G99" s="60"/>
      <c r="H99" s="60"/>
      <c r="I99" s="60"/>
      <c r="J99" s="60"/>
      <c r="K99" s="60"/>
      <c r="L99" s="60"/>
      <c r="M99" s="60">
        <v>47299.510600000001</v>
      </c>
      <c r="N99" s="60"/>
      <c r="O99" s="60"/>
      <c r="P99" s="60">
        <v>50294.401100000003</v>
      </c>
      <c r="Q99" s="60"/>
      <c r="R99" s="60"/>
      <c r="S99" s="60">
        <v>50287.551600000006</v>
      </c>
      <c r="T99" s="60"/>
      <c r="U99" s="60"/>
      <c r="V99" s="60">
        <v>50455.295100000003</v>
      </c>
      <c r="W99" s="60"/>
      <c r="X99" s="60"/>
      <c r="Y99" s="60">
        <v>50550.882100000003</v>
      </c>
      <c r="Z99" s="60"/>
      <c r="AA99" s="60"/>
      <c r="AB99" s="60">
        <v>50931.189100000003</v>
      </c>
      <c r="AC99" s="60"/>
      <c r="AD99" s="60"/>
      <c r="AE99" s="60">
        <v>51215.935100000002</v>
      </c>
      <c r="AF99" s="60"/>
      <c r="AG99" s="60"/>
      <c r="AH99" s="60">
        <v>51189.871600000006</v>
      </c>
      <c r="AI99" s="60"/>
      <c r="AJ99" s="60"/>
      <c r="AK99" s="60">
        <v>52001.355600000003</v>
      </c>
      <c r="AL99" s="60"/>
      <c r="AM99" s="60"/>
      <c r="AN99" s="60">
        <v>52154.422600000005</v>
      </c>
      <c r="AO99" s="60"/>
      <c r="AP99" s="60"/>
      <c r="AQ99" s="60">
        <v>53118.066599999998</v>
      </c>
    </row>
  </sheetData>
  <mergeCells count="10">
    <mergeCell ref="A1:B1"/>
    <mergeCell ref="A10:D10"/>
    <mergeCell ref="A12:D12"/>
    <mergeCell ref="A14:D14"/>
    <mergeCell ref="C88:D88"/>
    <mergeCell ref="A79:D79"/>
    <mergeCell ref="A27:D27"/>
    <mergeCell ref="A44:D44"/>
    <mergeCell ref="A45:D45"/>
    <mergeCell ref="C74:D74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93CA-0A20-4E15-AA94-E24C73D90E25}">
  <dimension ref="A5:U38"/>
  <sheetViews>
    <sheetView tabSelected="1" zoomScale="80" zoomScaleNormal="80" workbookViewId="0">
      <pane xSplit="3" ySplit="6" topLeftCell="D15" activePane="bottomRight" state="frozen"/>
      <selection pane="topRight" activeCell="D1" sqref="D1"/>
      <selection pane="bottomLeft" activeCell="A7" sqref="A7"/>
      <selection pane="bottomRight" activeCell="E41" sqref="E41"/>
    </sheetView>
  </sheetViews>
  <sheetFormatPr baseColWidth="10" defaultRowHeight="14.4" x14ac:dyDescent="0.3"/>
  <cols>
    <col min="1" max="1" width="8.109375" customWidth="1"/>
    <col min="3" max="3" width="26.6640625" customWidth="1"/>
    <col min="4" max="16" width="19" customWidth="1"/>
    <col min="17" max="17" width="2.5546875" customWidth="1"/>
    <col min="18" max="18" width="17.5546875" customWidth="1"/>
  </cols>
  <sheetData>
    <row r="5" spans="1:21" x14ac:dyDescent="0.3">
      <c r="A5" t="s">
        <v>0</v>
      </c>
    </row>
    <row r="7" spans="1:21" ht="24.75" customHeight="1" x14ac:dyDescent="0.3">
      <c r="A7" s="1" t="s">
        <v>39</v>
      </c>
      <c r="B7" s="7" t="s">
        <v>68</v>
      </c>
      <c r="C7" s="7" t="s">
        <v>69</v>
      </c>
      <c r="D7" s="114">
        <v>45657</v>
      </c>
      <c r="E7" s="114">
        <v>45688</v>
      </c>
      <c r="F7" s="114">
        <v>45716</v>
      </c>
      <c r="G7" s="114">
        <v>45747</v>
      </c>
      <c r="H7" s="114">
        <v>45777</v>
      </c>
      <c r="I7" s="114">
        <v>45808</v>
      </c>
      <c r="J7" s="114">
        <v>45838</v>
      </c>
      <c r="K7" s="114">
        <v>45869</v>
      </c>
      <c r="L7" s="116">
        <v>45900</v>
      </c>
      <c r="M7" s="116">
        <v>45930</v>
      </c>
      <c r="N7" s="116">
        <v>45961</v>
      </c>
      <c r="O7" s="116">
        <v>45991</v>
      </c>
      <c r="P7" s="116">
        <v>46022</v>
      </c>
      <c r="R7" s="9"/>
    </row>
    <row r="8" spans="1:21" x14ac:dyDescent="0.3">
      <c r="A8" s="1" t="s">
        <v>40</v>
      </c>
      <c r="B8" s="1">
        <v>11</v>
      </c>
      <c r="C8" s="1" t="s">
        <v>2</v>
      </c>
      <c r="D8" s="108">
        <v>154872.93</v>
      </c>
      <c r="E8" s="144">
        <v>420559.63000000006</v>
      </c>
      <c r="F8" s="144">
        <v>182779.12999999998</v>
      </c>
      <c r="G8" s="144">
        <v>211888.74</v>
      </c>
      <c r="H8" s="144">
        <v>195144.18</v>
      </c>
      <c r="I8" s="144">
        <v>340357.49</v>
      </c>
      <c r="J8" s="144">
        <v>132839.75</v>
      </c>
      <c r="K8" s="144">
        <v>270841.71000000002</v>
      </c>
      <c r="L8" s="145">
        <v>155062.66000000003</v>
      </c>
      <c r="M8" s="145">
        <v>142234.78</v>
      </c>
      <c r="N8" s="145">
        <v>136191.93</v>
      </c>
      <c r="O8" s="145">
        <v>201260.71</v>
      </c>
      <c r="P8" s="145">
        <v>168263.9</v>
      </c>
      <c r="R8" s="10"/>
      <c r="T8">
        <v>50261.82</v>
      </c>
      <c r="U8">
        <f>67460.81-50261.82</f>
        <v>17198.989999999998</v>
      </c>
    </row>
    <row r="9" spans="1:21" x14ac:dyDescent="0.3">
      <c r="A9" s="1" t="s">
        <v>41</v>
      </c>
      <c r="B9" s="1"/>
      <c r="C9" s="1"/>
      <c r="D9" s="108">
        <v>0</v>
      </c>
      <c r="E9" s="144">
        <v>0</v>
      </c>
      <c r="F9" s="144">
        <v>0</v>
      </c>
      <c r="G9" s="144">
        <v>0</v>
      </c>
      <c r="H9" s="144"/>
      <c r="I9" s="144">
        <v>0</v>
      </c>
      <c r="J9" s="144">
        <v>0</v>
      </c>
      <c r="K9" s="144">
        <v>0</v>
      </c>
      <c r="L9" s="145">
        <v>0</v>
      </c>
      <c r="M9" s="145">
        <v>0</v>
      </c>
      <c r="N9" s="145">
        <v>0</v>
      </c>
      <c r="O9" s="145">
        <v>0</v>
      </c>
      <c r="P9" s="145">
        <v>0</v>
      </c>
      <c r="R9" s="10"/>
    </row>
    <row r="10" spans="1:21" x14ac:dyDescent="0.3">
      <c r="A10" s="1" t="s">
        <v>42</v>
      </c>
      <c r="B10" s="1"/>
      <c r="C10" s="1"/>
      <c r="D10" s="108">
        <v>0</v>
      </c>
      <c r="E10" s="144">
        <v>0</v>
      </c>
      <c r="F10" s="144">
        <v>0</v>
      </c>
      <c r="G10" s="144">
        <v>0</v>
      </c>
      <c r="H10" s="144"/>
      <c r="I10" s="144">
        <v>0</v>
      </c>
      <c r="J10" s="144">
        <v>0</v>
      </c>
      <c r="K10" s="144">
        <v>0</v>
      </c>
      <c r="L10" s="145">
        <v>0</v>
      </c>
      <c r="M10" s="145">
        <v>0</v>
      </c>
      <c r="N10" s="145">
        <v>0</v>
      </c>
      <c r="O10" s="145">
        <v>0</v>
      </c>
      <c r="P10" s="145">
        <v>0</v>
      </c>
      <c r="R10" s="10"/>
    </row>
    <row r="11" spans="1:21" x14ac:dyDescent="0.3">
      <c r="A11" s="1" t="s">
        <v>43</v>
      </c>
      <c r="B11" s="1"/>
      <c r="C11" s="1"/>
      <c r="D11" s="108">
        <v>0</v>
      </c>
      <c r="E11" s="144">
        <v>0</v>
      </c>
      <c r="F11" s="144">
        <v>0</v>
      </c>
      <c r="G11" s="144">
        <v>0</v>
      </c>
      <c r="H11" s="144"/>
      <c r="I11" s="144">
        <v>0</v>
      </c>
      <c r="J11" s="144">
        <v>0</v>
      </c>
      <c r="K11" s="144">
        <v>0</v>
      </c>
      <c r="L11" s="145">
        <v>0</v>
      </c>
      <c r="M11" s="145">
        <v>0</v>
      </c>
      <c r="N11" s="145">
        <v>0</v>
      </c>
      <c r="O11" s="145">
        <v>0</v>
      </c>
      <c r="P11" s="145">
        <v>0</v>
      </c>
      <c r="R11" s="10"/>
    </row>
    <row r="12" spans="1:21" x14ac:dyDescent="0.3">
      <c r="A12" s="1" t="s">
        <v>44</v>
      </c>
      <c r="B12" s="1"/>
      <c r="C12" s="1"/>
      <c r="D12" s="108">
        <v>0</v>
      </c>
      <c r="E12" s="144">
        <v>0</v>
      </c>
      <c r="F12" s="144">
        <v>0</v>
      </c>
      <c r="G12" s="144">
        <v>0</v>
      </c>
      <c r="H12" s="144"/>
      <c r="I12" s="144">
        <v>0</v>
      </c>
      <c r="J12" s="144">
        <v>0</v>
      </c>
      <c r="K12" s="144">
        <v>0</v>
      </c>
      <c r="L12" s="145">
        <v>0</v>
      </c>
      <c r="M12" s="145">
        <v>0</v>
      </c>
      <c r="N12" s="145">
        <v>0</v>
      </c>
      <c r="O12" s="145">
        <v>0</v>
      </c>
      <c r="P12" s="145">
        <v>0</v>
      </c>
      <c r="R12" s="10"/>
    </row>
    <row r="13" spans="1:21" x14ac:dyDescent="0.3">
      <c r="A13" s="1" t="s">
        <v>45</v>
      </c>
      <c r="B13" s="1"/>
      <c r="C13" s="1" t="s">
        <v>70</v>
      </c>
      <c r="D13" s="108">
        <v>154872.93</v>
      </c>
      <c r="E13" s="144">
        <v>420559.63000000006</v>
      </c>
      <c r="F13" s="144">
        <v>182779.12999999998</v>
      </c>
      <c r="G13" s="144">
        <v>211888.74</v>
      </c>
      <c r="H13" s="144">
        <v>195144.18</v>
      </c>
      <c r="I13" s="144">
        <v>340357.49</v>
      </c>
      <c r="J13" s="144">
        <v>132839.75</v>
      </c>
      <c r="K13" s="144">
        <v>270841.71000000002</v>
      </c>
      <c r="L13" s="145">
        <v>155062.66000000003</v>
      </c>
      <c r="M13" s="145">
        <v>142234.78</v>
      </c>
      <c r="N13" s="145">
        <v>136191.93</v>
      </c>
      <c r="O13" s="145">
        <v>201260.71</v>
      </c>
      <c r="P13" s="145">
        <v>168263.9</v>
      </c>
      <c r="R13" s="10"/>
    </row>
    <row r="14" spans="1:21" x14ac:dyDescent="0.3">
      <c r="A14" s="1" t="s">
        <v>46</v>
      </c>
      <c r="B14" s="1">
        <v>2101</v>
      </c>
      <c r="C14" s="1" t="s">
        <v>38</v>
      </c>
      <c r="D14" s="108">
        <v>247375.94</v>
      </c>
      <c r="E14" s="144">
        <v>105429.59</v>
      </c>
      <c r="F14" s="144">
        <v>108002.28</v>
      </c>
      <c r="G14" s="144">
        <v>112834.74</v>
      </c>
      <c r="H14" s="144">
        <v>182676.45</v>
      </c>
      <c r="I14" s="144">
        <v>120202.5</v>
      </c>
      <c r="J14" s="144">
        <v>106531.26</v>
      </c>
      <c r="K14" s="144">
        <v>120904.58</v>
      </c>
      <c r="L14" s="145">
        <v>217699.41</v>
      </c>
      <c r="M14" s="145">
        <v>164173.42000000001</v>
      </c>
      <c r="N14" s="145">
        <v>159977.06</v>
      </c>
      <c r="O14" s="145">
        <v>160145.89000000001</v>
      </c>
      <c r="P14" s="145">
        <v>127314.77</v>
      </c>
      <c r="R14" s="10"/>
      <c r="T14">
        <v>211144.69</v>
      </c>
      <c r="U14">
        <f>226519.15-211144.7</f>
        <v>15374.449999999983</v>
      </c>
    </row>
    <row r="15" spans="1:21" x14ac:dyDescent="0.3">
      <c r="A15" s="1" t="s">
        <v>47</v>
      </c>
      <c r="B15" s="1" t="s">
        <v>71</v>
      </c>
      <c r="C15" s="1" t="s">
        <v>72</v>
      </c>
      <c r="D15" s="108">
        <v>544762.01</v>
      </c>
      <c r="E15" s="144">
        <v>300523.49</v>
      </c>
      <c r="F15" s="144">
        <v>300458.56</v>
      </c>
      <c r="G15" s="144">
        <v>363153.48</v>
      </c>
      <c r="H15" s="144">
        <v>358584.5</v>
      </c>
      <c r="I15" s="144">
        <v>386554.52</v>
      </c>
      <c r="J15" s="144">
        <v>286433.44</v>
      </c>
      <c r="K15" s="144">
        <v>175266.61</v>
      </c>
      <c r="L15" s="145">
        <v>147052.5</v>
      </c>
      <c r="M15" s="145">
        <v>228581.81</v>
      </c>
      <c r="N15" s="145">
        <v>665706.76</v>
      </c>
      <c r="O15" s="145">
        <v>660808.74</v>
      </c>
      <c r="P15" s="145">
        <v>646080.09</v>
      </c>
      <c r="R15" s="11"/>
      <c r="T15">
        <f>86914.42+73251.33</f>
        <v>160165.75</v>
      </c>
      <c r="U15">
        <f>218453.03-160165.8</f>
        <v>58287.23000000001</v>
      </c>
    </row>
    <row r="16" spans="1:21" x14ac:dyDescent="0.3">
      <c r="A16" s="1" t="s">
        <v>48</v>
      </c>
      <c r="B16" s="1"/>
      <c r="C16" s="1"/>
      <c r="D16" s="108">
        <v>0</v>
      </c>
      <c r="E16" s="144">
        <v>0</v>
      </c>
      <c r="F16" s="144">
        <v>0</v>
      </c>
      <c r="G16" s="144">
        <v>0</v>
      </c>
      <c r="H16" s="144"/>
      <c r="I16" s="144">
        <v>0</v>
      </c>
      <c r="J16" s="144">
        <v>0</v>
      </c>
      <c r="K16" s="144">
        <v>0</v>
      </c>
      <c r="L16" s="145">
        <v>0</v>
      </c>
      <c r="M16" s="145">
        <v>0</v>
      </c>
      <c r="N16" s="145">
        <v>0</v>
      </c>
      <c r="O16" s="145">
        <v>0</v>
      </c>
      <c r="P16" s="145">
        <v>0</v>
      </c>
      <c r="R16" s="10"/>
    </row>
    <row r="17" spans="1:21" x14ac:dyDescent="0.3">
      <c r="A17" s="1" t="s">
        <v>49</v>
      </c>
      <c r="B17" s="1"/>
      <c r="C17" s="1"/>
      <c r="D17" s="108">
        <v>0</v>
      </c>
      <c r="E17" s="144">
        <v>0</v>
      </c>
      <c r="F17" s="144">
        <v>0</v>
      </c>
      <c r="G17" s="144">
        <v>0</v>
      </c>
      <c r="H17" s="144"/>
      <c r="I17" s="144">
        <v>0</v>
      </c>
      <c r="J17" s="144">
        <v>0</v>
      </c>
      <c r="K17" s="144">
        <v>0</v>
      </c>
      <c r="L17" s="145">
        <v>0</v>
      </c>
      <c r="M17" s="145">
        <v>0</v>
      </c>
      <c r="N17" s="145">
        <v>0</v>
      </c>
      <c r="O17" s="145">
        <v>0</v>
      </c>
      <c r="P17" s="145">
        <v>0</v>
      </c>
      <c r="R17" s="10"/>
    </row>
    <row r="18" spans="1:21" x14ac:dyDescent="0.3">
      <c r="A18" s="1" t="s">
        <v>50</v>
      </c>
      <c r="B18" s="1"/>
      <c r="C18" s="1" t="s">
        <v>70</v>
      </c>
      <c r="D18" s="108">
        <v>792137.95</v>
      </c>
      <c r="E18" s="144">
        <v>405953.07999999996</v>
      </c>
      <c r="F18" s="144">
        <v>408460.83999999997</v>
      </c>
      <c r="G18" s="144">
        <v>475988.22</v>
      </c>
      <c r="H18" s="144">
        <v>541260.94999999995</v>
      </c>
      <c r="I18" s="144">
        <v>506757.02</v>
      </c>
      <c r="J18" s="144">
        <v>392964.7</v>
      </c>
      <c r="K18" s="144">
        <v>296171.19</v>
      </c>
      <c r="L18" s="145">
        <v>364751.91000000003</v>
      </c>
      <c r="M18" s="145">
        <v>392755.23</v>
      </c>
      <c r="N18" s="145">
        <v>825683.82000000007</v>
      </c>
      <c r="O18" s="145">
        <v>820954.63</v>
      </c>
      <c r="P18" s="145">
        <v>773394.86</v>
      </c>
      <c r="R18" s="12"/>
    </row>
    <row r="19" spans="1:21" x14ac:dyDescent="0.3">
      <c r="A19" s="1" t="s">
        <v>51</v>
      </c>
      <c r="B19" s="1"/>
      <c r="C19" s="1" t="s">
        <v>73</v>
      </c>
      <c r="D19" s="108">
        <v>0.19550000000000001</v>
      </c>
      <c r="E19" s="144">
        <v>1.0359808823226568</v>
      </c>
      <c r="F19" s="144">
        <v>0.4474826277104067</v>
      </c>
      <c r="G19" s="144">
        <v>0.44515542842635897</v>
      </c>
      <c r="H19" s="144">
        <v>0.36049999999999999</v>
      </c>
      <c r="I19" s="144">
        <v>0.67163843137288948</v>
      </c>
      <c r="J19" s="144">
        <v>0.33804499488121958</v>
      </c>
      <c r="K19" s="144">
        <v>0.9144768942583511</v>
      </c>
      <c r="L19" s="145">
        <v>0.42511815770889322</v>
      </c>
      <c r="M19" s="145">
        <v>0.36214611324208212</v>
      </c>
      <c r="N19" s="145">
        <v>0.16494440935030069</v>
      </c>
      <c r="O19" s="145">
        <v>0.24515448557735767</v>
      </c>
      <c r="P19" s="145">
        <v>0.21756531973848392</v>
      </c>
      <c r="R19" s="13"/>
    </row>
    <row r="20" spans="1:21" x14ac:dyDescent="0.3">
      <c r="A20" s="1" t="s">
        <v>52</v>
      </c>
      <c r="B20" s="1"/>
      <c r="C20" s="1"/>
      <c r="D20" s="108">
        <v>0</v>
      </c>
      <c r="E20" s="144">
        <v>0</v>
      </c>
      <c r="F20" s="144">
        <v>0</v>
      </c>
      <c r="G20" s="144">
        <v>0</v>
      </c>
      <c r="H20" s="144"/>
      <c r="I20" s="144">
        <v>0</v>
      </c>
      <c r="J20" s="144">
        <v>0</v>
      </c>
      <c r="K20" s="144">
        <v>0</v>
      </c>
      <c r="L20" s="145">
        <v>0</v>
      </c>
      <c r="M20" s="145">
        <v>0</v>
      </c>
      <c r="N20" s="145">
        <v>0</v>
      </c>
      <c r="O20" s="145">
        <v>0</v>
      </c>
      <c r="P20" s="145">
        <v>0</v>
      </c>
      <c r="R20" s="10"/>
    </row>
    <row r="21" spans="1:21" x14ac:dyDescent="0.3">
      <c r="A21" s="1" t="s">
        <v>53</v>
      </c>
      <c r="B21" s="1"/>
      <c r="C21" s="1"/>
      <c r="D21" s="108">
        <v>0</v>
      </c>
      <c r="E21" s="144">
        <v>0</v>
      </c>
      <c r="F21" s="144">
        <v>0</v>
      </c>
      <c r="G21" s="144">
        <v>0</v>
      </c>
      <c r="H21" s="144"/>
      <c r="I21" s="144">
        <v>0</v>
      </c>
      <c r="J21" s="144">
        <v>0</v>
      </c>
      <c r="K21" s="144">
        <v>0</v>
      </c>
      <c r="L21" s="145">
        <v>0</v>
      </c>
      <c r="M21" s="145">
        <v>0</v>
      </c>
      <c r="N21" s="145">
        <v>0</v>
      </c>
      <c r="O21" s="145">
        <v>0</v>
      </c>
      <c r="P21" s="145">
        <v>0</v>
      </c>
      <c r="R21" s="10"/>
    </row>
    <row r="22" spans="1:21" x14ac:dyDescent="0.3">
      <c r="A22" s="1" t="s">
        <v>54</v>
      </c>
      <c r="B22" s="1"/>
      <c r="C22" s="1"/>
      <c r="D22" s="108">
        <v>0</v>
      </c>
      <c r="E22" s="144">
        <v>0</v>
      </c>
      <c r="F22" s="144">
        <v>0</v>
      </c>
      <c r="G22" s="144">
        <v>0</v>
      </c>
      <c r="H22" s="144"/>
      <c r="I22" s="144">
        <v>0</v>
      </c>
      <c r="J22" s="144">
        <v>0</v>
      </c>
      <c r="K22" s="144">
        <v>0</v>
      </c>
      <c r="L22" s="145">
        <v>0</v>
      </c>
      <c r="M22" s="145">
        <v>0</v>
      </c>
      <c r="N22" s="145">
        <v>0</v>
      </c>
      <c r="O22" s="145">
        <v>0</v>
      </c>
      <c r="P22" s="145">
        <v>0</v>
      </c>
      <c r="R22" s="10"/>
    </row>
    <row r="23" spans="1:21" x14ac:dyDescent="0.3">
      <c r="A23" s="1" t="s">
        <v>55</v>
      </c>
      <c r="B23" s="1"/>
      <c r="C23" s="1"/>
      <c r="D23" s="108">
        <v>0</v>
      </c>
      <c r="E23" s="144">
        <v>0</v>
      </c>
      <c r="F23" s="144">
        <v>0</v>
      </c>
      <c r="G23" s="144">
        <v>0</v>
      </c>
      <c r="H23" s="144"/>
      <c r="I23" s="144">
        <v>0</v>
      </c>
      <c r="J23" s="144">
        <v>0</v>
      </c>
      <c r="K23" s="144">
        <v>0</v>
      </c>
      <c r="L23" s="145">
        <v>0</v>
      </c>
      <c r="M23" s="145">
        <v>0</v>
      </c>
      <c r="N23" s="145">
        <v>0</v>
      </c>
      <c r="O23" s="145">
        <v>0</v>
      </c>
      <c r="P23" s="145">
        <v>0</v>
      </c>
      <c r="R23" s="10"/>
    </row>
    <row r="24" spans="1:21" x14ac:dyDescent="0.3">
      <c r="A24" s="1" t="s">
        <v>56</v>
      </c>
      <c r="B24" s="1"/>
      <c r="C24" s="1"/>
      <c r="D24" s="108">
        <v>0</v>
      </c>
      <c r="E24" s="144">
        <v>0</v>
      </c>
      <c r="F24" s="144">
        <v>0</v>
      </c>
      <c r="G24" s="144">
        <v>0</v>
      </c>
      <c r="H24" s="144"/>
      <c r="I24" s="144">
        <v>0</v>
      </c>
      <c r="J24" s="144">
        <v>0</v>
      </c>
      <c r="K24" s="144">
        <v>0</v>
      </c>
      <c r="L24" s="145">
        <v>0</v>
      </c>
      <c r="M24" s="145">
        <v>0</v>
      </c>
      <c r="N24" s="145">
        <v>0</v>
      </c>
      <c r="O24" s="145">
        <v>0</v>
      </c>
      <c r="P24" s="145">
        <v>0</v>
      </c>
      <c r="R24" s="10"/>
    </row>
    <row r="25" spans="1:21" x14ac:dyDescent="0.3">
      <c r="A25" s="1" t="s">
        <v>57</v>
      </c>
      <c r="B25" s="1"/>
      <c r="C25" s="1" t="s">
        <v>74</v>
      </c>
      <c r="D25" s="108">
        <v>154872.93</v>
      </c>
      <c r="E25" s="144">
        <v>420559.63000000006</v>
      </c>
      <c r="F25" s="144">
        <v>182779.12999999998</v>
      </c>
      <c r="G25" s="144">
        <v>211888.74</v>
      </c>
      <c r="H25" s="144">
        <v>195144.18</v>
      </c>
      <c r="I25" s="144">
        <v>340357.49</v>
      </c>
      <c r="J25" s="144">
        <v>132839.75</v>
      </c>
      <c r="K25" s="144">
        <v>270841.71000000002</v>
      </c>
      <c r="L25" s="145">
        <v>155062.66000000003</v>
      </c>
      <c r="M25" s="145">
        <v>142234.78</v>
      </c>
      <c r="N25" s="145">
        <v>136191.93</v>
      </c>
      <c r="O25" s="145">
        <v>201260.71</v>
      </c>
      <c r="P25" s="145">
        <v>168263.9</v>
      </c>
      <c r="R25" s="12"/>
    </row>
    <row r="26" spans="1:21" x14ac:dyDescent="0.3">
      <c r="A26" s="1" t="s">
        <v>58</v>
      </c>
      <c r="B26" s="1" t="s">
        <v>75</v>
      </c>
      <c r="C26" s="1" t="s">
        <v>76</v>
      </c>
      <c r="D26" s="108">
        <v>247428.85</v>
      </c>
      <c r="E26" s="144">
        <v>652214.08000000007</v>
      </c>
      <c r="F26" s="144">
        <v>652765.36</v>
      </c>
      <c r="G26" s="144">
        <v>610034.99</v>
      </c>
      <c r="H26" s="144">
        <v>553666.97</v>
      </c>
      <c r="I26" s="144">
        <v>559125.86</v>
      </c>
      <c r="J26" s="144">
        <v>607254.43000000005</v>
      </c>
      <c r="K26" s="144">
        <v>744645.53999999992</v>
      </c>
      <c r="L26" s="145">
        <v>744365.11</v>
      </c>
      <c r="M26" s="145">
        <v>699997.97</v>
      </c>
      <c r="N26" s="145">
        <v>257259.66999999998</v>
      </c>
      <c r="O26" s="145">
        <v>314637.25</v>
      </c>
      <c r="P26" s="145">
        <v>354463.39999999997</v>
      </c>
      <c r="R26" s="11"/>
      <c r="T26">
        <v>430066.6</v>
      </c>
      <c r="U26">
        <f>375608.17-430066.6</f>
        <v>-54458.429999999993</v>
      </c>
    </row>
    <row r="27" spans="1:21" x14ac:dyDescent="0.3">
      <c r="A27" s="1" t="s">
        <v>59</v>
      </c>
      <c r="B27" s="1"/>
      <c r="C27" s="1"/>
      <c r="D27" s="108">
        <v>0</v>
      </c>
      <c r="E27" s="144">
        <v>0</v>
      </c>
      <c r="F27" s="144">
        <v>0</v>
      </c>
      <c r="G27" s="144">
        <v>0</v>
      </c>
      <c r="H27" s="144"/>
      <c r="I27" s="144">
        <v>0</v>
      </c>
      <c r="J27" s="144">
        <v>0</v>
      </c>
      <c r="K27" s="144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R27" s="10"/>
    </row>
    <row r="28" spans="1:21" x14ac:dyDescent="0.3">
      <c r="A28" s="1" t="s">
        <v>60</v>
      </c>
      <c r="B28" s="1"/>
      <c r="C28" s="1"/>
      <c r="D28" s="108">
        <v>0</v>
      </c>
      <c r="E28" s="144">
        <v>0</v>
      </c>
      <c r="F28" s="144">
        <v>0</v>
      </c>
      <c r="G28" s="144">
        <v>0</v>
      </c>
      <c r="H28" s="144"/>
      <c r="I28" s="144">
        <v>0</v>
      </c>
      <c r="J28" s="144">
        <v>0</v>
      </c>
      <c r="K28" s="144">
        <v>0</v>
      </c>
      <c r="L28" s="145">
        <v>0</v>
      </c>
      <c r="M28" s="145">
        <v>0</v>
      </c>
      <c r="N28" s="145">
        <v>0</v>
      </c>
      <c r="O28" s="145">
        <v>0</v>
      </c>
      <c r="P28" s="145">
        <v>0</v>
      </c>
      <c r="R28" s="10"/>
    </row>
    <row r="29" spans="1:21" x14ac:dyDescent="0.3">
      <c r="A29" s="1" t="s">
        <v>61</v>
      </c>
      <c r="B29" s="1"/>
      <c r="C29" s="1" t="s">
        <v>77</v>
      </c>
      <c r="D29" s="108">
        <v>103566.8</v>
      </c>
      <c r="E29" s="144">
        <v>1058167.1600000001</v>
      </c>
      <c r="F29" s="144">
        <v>1061226.2</v>
      </c>
      <c r="G29" s="144">
        <v>1086023.21</v>
      </c>
      <c r="H29" s="144">
        <v>1094927.92</v>
      </c>
      <c r="I29" s="144">
        <v>1065882.8799999999</v>
      </c>
      <c r="J29" s="144">
        <v>1000219.1300000001</v>
      </c>
      <c r="K29" s="144">
        <v>1040816.73</v>
      </c>
      <c r="L29" s="145">
        <v>1109117.02</v>
      </c>
      <c r="M29" s="145">
        <v>1092753.2</v>
      </c>
      <c r="N29" s="145">
        <v>1082943.49</v>
      </c>
      <c r="O29" s="145">
        <v>1135591.8799999999</v>
      </c>
      <c r="P29" s="145">
        <v>1127858.26</v>
      </c>
      <c r="R29" s="10"/>
    </row>
    <row r="30" spans="1:21" x14ac:dyDescent="0.3">
      <c r="A30" s="1" t="s">
        <v>62</v>
      </c>
      <c r="B30" s="1"/>
      <c r="C30" s="1"/>
      <c r="D30" s="108">
        <v>0.14898</v>
      </c>
      <c r="E30" s="144">
        <v>0.39744158191414675</v>
      </c>
      <c r="F30" s="144">
        <v>0.1722339026307492</v>
      </c>
      <c r="G30" s="144">
        <v>0.19510516722750335</v>
      </c>
      <c r="H30" s="144">
        <v>0.17823</v>
      </c>
      <c r="I30" s="144">
        <v>0.31931978305158631</v>
      </c>
      <c r="J30" s="144">
        <v>0.13281064720287841</v>
      </c>
      <c r="K30" s="144">
        <v>0.2602203655969289</v>
      </c>
      <c r="L30" s="145">
        <v>0.13980730365133159</v>
      </c>
      <c r="M30" s="145">
        <v>0.13016185173376751</v>
      </c>
      <c r="N30" s="145">
        <v>0.12576088342338157</v>
      </c>
      <c r="O30" s="145">
        <v>0.17722978963181737</v>
      </c>
      <c r="P30" s="145">
        <v>0.14918887059443089</v>
      </c>
      <c r="R30" s="14"/>
    </row>
    <row r="31" spans="1:21" x14ac:dyDescent="0.3">
      <c r="A31" s="1" t="s">
        <v>63</v>
      </c>
      <c r="B31" s="1"/>
      <c r="C31" s="1"/>
      <c r="D31" s="108"/>
      <c r="E31" s="144"/>
      <c r="F31" s="144"/>
      <c r="G31" s="144"/>
      <c r="H31" s="144"/>
      <c r="I31" s="144"/>
      <c r="J31" s="144"/>
      <c r="K31" s="144"/>
      <c r="L31" s="145"/>
      <c r="M31" s="145"/>
      <c r="N31" s="145"/>
      <c r="O31" s="145"/>
      <c r="P31" s="145"/>
      <c r="R31" s="11"/>
    </row>
    <row r="32" spans="1:21" x14ac:dyDescent="0.3">
      <c r="A32" s="1" t="s">
        <v>64</v>
      </c>
      <c r="B32" s="1"/>
      <c r="C32" s="1"/>
      <c r="D32" s="108"/>
      <c r="E32" s="144"/>
      <c r="F32" s="144"/>
      <c r="G32" s="144"/>
      <c r="H32" s="144"/>
      <c r="I32" s="144"/>
      <c r="J32" s="144"/>
      <c r="K32" s="144"/>
      <c r="L32" s="145"/>
      <c r="M32" s="145"/>
      <c r="N32" s="145"/>
      <c r="O32" s="145"/>
      <c r="P32" s="145"/>
      <c r="R32" s="11"/>
    </row>
    <row r="33" spans="1:18" x14ac:dyDescent="0.3">
      <c r="A33" s="1" t="s">
        <v>65</v>
      </c>
      <c r="B33" s="1"/>
      <c r="C33" s="1"/>
      <c r="D33" s="108"/>
      <c r="E33" s="144"/>
      <c r="F33" s="144"/>
      <c r="G33" s="144"/>
      <c r="H33" s="144"/>
      <c r="I33" s="144"/>
      <c r="J33" s="144"/>
      <c r="K33" s="144"/>
      <c r="L33" s="145"/>
      <c r="M33" s="145"/>
      <c r="N33" s="145"/>
      <c r="O33" s="145"/>
      <c r="P33" s="145"/>
      <c r="R33" s="11"/>
    </row>
    <row r="34" spans="1:18" x14ac:dyDescent="0.3">
      <c r="A34" s="1" t="s">
        <v>66</v>
      </c>
      <c r="B34" s="1"/>
      <c r="C34" s="1"/>
      <c r="D34" s="108"/>
      <c r="E34" s="144"/>
      <c r="F34" s="144"/>
      <c r="G34" s="144"/>
      <c r="H34" s="144"/>
      <c r="I34" s="144"/>
      <c r="J34" s="144"/>
      <c r="K34" s="144"/>
      <c r="L34" s="145"/>
      <c r="M34" s="145"/>
      <c r="N34" s="145"/>
      <c r="O34" s="145"/>
      <c r="P34" s="145"/>
      <c r="R34" s="11"/>
    </row>
    <row r="35" spans="1:18" x14ac:dyDescent="0.3">
      <c r="A35" s="1" t="s">
        <v>67</v>
      </c>
      <c r="B35" s="1"/>
      <c r="C35" s="1"/>
      <c r="D35" s="108"/>
      <c r="E35" s="144"/>
      <c r="F35" s="144"/>
      <c r="G35" s="144"/>
      <c r="H35" s="144"/>
      <c r="I35" s="144"/>
      <c r="J35" s="144"/>
      <c r="K35" s="144"/>
      <c r="L35" s="145"/>
      <c r="M35" s="145"/>
      <c r="N35" s="145"/>
      <c r="O35" s="145"/>
      <c r="P35" s="145"/>
      <c r="R35" s="11"/>
    </row>
    <row r="36" spans="1:18" x14ac:dyDescent="0.3"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</row>
    <row r="37" spans="1:18" x14ac:dyDescent="0.3">
      <c r="C37" t="s">
        <v>84</v>
      </c>
      <c r="D37">
        <v>1058167.1599999999</v>
      </c>
      <c r="E37" s="130">
        <v>1058167.1600000001</v>
      </c>
      <c r="F37" s="130">
        <v>1061226.2</v>
      </c>
      <c r="G37" s="130">
        <v>1086023.21</v>
      </c>
      <c r="H37" s="130">
        <v>1094927.92</v>
      </c>
      <c r="I37" s="130">
        <v>1065882.8799999999</v>
      </c>
      <c r="J37" s="130">
        <v>1000219.13</v>
      </c>
      <c r="K37" s="130">
        <v>1040816.7299999999</v>
      </c>
      <c r="L37" s="130"/>
      <c r="M37" s="130">
        <v>1092753.2</v>
      </c>
      <c r="N37" s="130">
        <v>1082943.49</v>
      </c>
      <c r="O37" s="130">
        <v>1135591.8799999999</v>
      </c>
      <c r="P37" s="130">
        <v>1127858.2599999998</v>
      </c>
    </row>
    <row r="38" spans="1:18" x14ac:dyDescent="0.3">
      <c r="D38" s="55">
        <v>0</v>
      </c>
      <c r="E38" s="55">
        <v>0</v>
      </c>
      <c r="F38" s="55">
        <v>0</v>
      </c>
      <c r="G38" s="55"/>
      <c r="H38" s="55"/>
      <c r="I38" s="55">
        <v>0</v>
      </c>
      <c r="J38" s="55">
        <v>0</v>
      </c>
      <c r="K38" s="55">
        <v>0</v>
      </c>
      <c r="L38" s="55"/>
      <c r="M38" s="55">
        <v>0</v>
      </c>
      <c r="N38" s="55">
        <v>0</v>
      </c>
      <c r="O38" s="55">
        <v>0</v>
      </c>
      <c r="P38" s="55">
        <v>0</v>
      </c>
    </row>
  </sheetData>
  <pageMargins left="0.23622047244094491" right="0.23622047244094491" top="0.74803149606299213" bottom="0.74803149606299213" header="0.31496062992125984" footer="0.31496062992125984"/>
  <pageSetup paperSize="9" scale="80" orientation="landscape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0071-E786-4A4D-B6AB-C8BF734342F5}">
  <dimension ref="A1:F153"/>
  <sheetViews>
    <sheetView zoomScale="80" zoomScaleNormal="80" workbookViewId="0">
      <selection activeCell="D26" sqref="D26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695429.61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2">
        <v>884623.24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393476.23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40000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2013529.08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105429.59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952737.57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570754.57999999996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1628921.7399999998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2013529.08</v>
      </c>
      <c r="E27" s="78" t="s">
        <v>164</v>
      </c>
      <c r="F27" s="78">
        <f>+D18</f>
        <v>1628921.7399999998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1628921.7399999998</v>
      </c>
      <c r="E28" s="80" t="s">
        <v>172</v>
      </c>
      <c r="F28" s="80">
        <f>+D11</f>
        <v>2013529.08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1.2361116133178998</v>
      </c>
      <c r="E29" s="83" t="s">
        <v>180</v>
      </c>
      <c r="F29" s="83">
        <f>IFERROR(F27/F28,"")</f>
        <v>0.80898843536940612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23688.49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55019.8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78708.290000000008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688.69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13281.01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13969.7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78708.290000000008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13969.7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92677.99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1581408.5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91322.34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1672730.84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92677.99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1672730.84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5.5405201951080188E-2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>
        <v>45658</v>
      </c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10375.9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10375.9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22278.89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10422.58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3.93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/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1081.48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10778.76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10375.9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10778.76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0.96262464327993191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2CBC-456B-41B3-8D4E-4BAF374346BE}">
  <dimension ref="A1:F153"/>
  <sheetViews>
    <sheetView topLeftCell="A96" zoomScale="80" zoomScaleNormal="80" workbookViewId="0">
      <selection activeCell="D120" sqref="D120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708134.12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2">
        <v>926675.01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143494.85999999999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190202.54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1968506.5299999998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108002.28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953223.92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563168.29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1624394.49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1968506.5299999998</v>
      </c>
      <c r="E27" s="78" t="s">
        <v>164</v>
      </c>
      <c r="F27" s="78">
        <f>+D18</f>
        <v>1624394.49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1624394.49</v>
      </c>
      <c r="E28" s="80" t="s">
        <v>172</v>
      </c>
      <c r="F28" s="80">
        <f>+D11</f>
        <v>1968506.5299999998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1.2118401916027182</v>
      </c>
      <c r="E29" s="83" t="s">
        <v>180</v>
      </c>
      <c r="F29" s="83">
        <f>IFERROR(F27/F28,"")</f>
        <v>0.82519131394499368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33174.5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92051.17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125225.67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1180.01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14842.95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16022.960000000001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125225.67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16022.960000000001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141248.63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1683936.48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92121.279999999999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1776057.76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141248.63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1776057.76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7.9529299767818362E-2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20759.669999999998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20759.669999999998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42426.63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18910.939999999999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6.45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27.94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2042.72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21451.48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20759.669999999998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21451.48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0.96775001072187083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41D3-1BCA-4E39-AE0C-2EBEB3FDF4DA}">
  <dimension ref="A1:F153"/>
  <sheetViews>
    <sheetView topLeftCell="A103" zoomScale="80" zoomScaleNormal="80" workbookViewId="0">
      <selection activeCell="D122" sqref="D122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750152.55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991964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176069.47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110000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2028186.02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112834.74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973188.47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548023.52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1634046.73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2028186.02</v>
      </c>
      <c r="E27" s="78" t="s">
        <v>164</v>
      </c>
      <c r="F27" s="78">
        <f>+D18</f>
        <v>1634046.73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1634046.73</v>
      </c>
      <c r="E28" s="80" t="s">
        <v>172</v>
      </c>
      <c r="F28" s="80">
        <f>+D11</f>
        <v>2028186.02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1.2412044176974057</v>
      </c>
      <c r="E29" s="83" t="s">
        <v>180</v>
      </c>
      <c r="F29" s="83">
        <f>IFERROR(F27/F28,"")</f>
        <v>0.80566906284069539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45814.85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87242.07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133056.92000000001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2517.06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15766.73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18283.79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133056.92000000001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18283.79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151340.71000000002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1799952.02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93505.24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1893457.26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151340.71000000002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1893457.26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7.9928241950388682E-2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30952.06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30952.06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67081.94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30273.23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10.77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48.32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3583.05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33188.11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30952.06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33188.11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0.93262496719457666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48A8-421A-4C22-91B3-8F165F9AF24A}">
  <dimension ref="A1:F153"/>
  <sheetViews>
    <sheetView topLeftCell="A82" zoomScale="80" zoomScaleNormal="80" workbookViewId="0">
      <selection activeCell="D106" sqref="D106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763874.48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1106230.99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160386.5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2030491.97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182676.45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912251.47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533067.59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1627995.5099999998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2030491.97</v>
      </c>
      <c r="E27" s="78" t="s">
        <v>164</v>
      </c>
      <c r="F27" s="78">
        <f>+D18</f>
        <v>1627995.5099999998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1627995.5099999998</v>
      </c>
      <c r="E28" s="80" t="s">
        <v>172</v>
      </c>
      <c r="F28" s="80">
        <f>+D11</f>
        <v>2030491.97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1.2472343796574723</v>
      </c>
      <c r="E29" s="83" t="s">
        <v>180</v>
      </c>
      <c r="F29" s="83">
        <f>IFERROR(F27/F28,"")</f>
        <v>0.80177392181462304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49072.46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68701.679999999993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117774.13999999998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1816.2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16714.580000000002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18530.780000000002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117774.13999999998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18530.780000000002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136304.91999999998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1905752.71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100657.68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2006410.39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136304.91999999998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2006410.39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6.7934715987988878E-2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41399.480000000003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41399.480000000003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94247.76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41792.19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17.25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92.86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10779.18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41600.779999999992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41399.480000000003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41600.779999999992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0.99516114842077508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3DC1-1BA8-4F90-9C9F-822CA190A1D9}">
  <dimension ref="A1:F153"/>
  <sheetViews>
    <sheetView topLeftCell="A94" zoomScale="80" zoomScaleNormal="80" workbookViewId="0">
      <selection activeCell="E112" sqref="E112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804121.86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1048676.06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312007.7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200000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2364805.62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120202.5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945680.38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952726.27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2018609.15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2364805.62</v>
      </c>
      <c r="E27" s="78" t="s">
        <v>164</v>
      </c>
      <c r="F27" s="78">
        <f>+D18</f>
        <v>2018609.15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2018609.15</v>
      </c>
      <c r="E28" s="80" t="s">
        <v>172</v>
      </c>
      <c r="F28" s="80">
        <f>+D11</f>
        <v>2364805.62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1.1715024773369329</v>
      </c>
      <c r="E29" s="83" t="s">
        <v>180</v>
      </c>
      <c r="F29" s="83">
        <f>IFERROR(F27/F28,"")</f>
        <v>0.85360468231634179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43376.12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119577.4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162953.51999999999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2515.41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20486.439999999999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23001.85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162953.51999999999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23001.85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185955.37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1919694.48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119058.55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2038753.03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185955.37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2038753.03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9.1210346355683897E-2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52973.17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52973.17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135228.67000000001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52604.68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20.13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104.94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29440.05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53099.130000000012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52973.17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53099.130000000012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0.99762783307372427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5ED4-70E3-469B-811C-0F7525E1D57E}">
  <dimension ref="A1:F153"/>
  <sheetViews>
    <sheetView topLeftCell="A119" zoomScale="80" zoomScaleNormal="80" workbookViewId="0">
      <selection activeCell="D136" sqref="D136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804155.47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1197850.6399999999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99817.8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200000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2301823.9099999997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106531.26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893687.87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918960.95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1919180.08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2301823.9099999997</v>
      </c>
      <c r="E27" s="78" t="s">
        <v>164</v>
      </c>
      <c r="F27" s="78">
        <f>+D18</f>
        <v>1919180.08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1919180.08</v>
      </c>
      <c r="E28" s="80" t="s">
        <v>172</v>
      </c>
      <c r="F28" s="80">
        <f>+D11</f>
        <v>2301823.9099999997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1.1993788045153113</v>
      </c>
      <c r="E29" s="83" t="s">
        <v>180</v>
      </c>
      <c r="F29" s="83">
        <f>IFERROR(F27/F28,"")</f>
        <v>0.8337649425146515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24368.080000000002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88895.99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113264.07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1957.58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21143.67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23101.25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113264.07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23101.25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136365.32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2019288.18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119083.25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2138371.4299999997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136365.32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2138371.4299999997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6.3770642502458064E-2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68565.84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68565.84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165536.28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67295.37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28.05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126.24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29494.59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68648.13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68565.84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68648.13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0.99880127834509103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12E6-F4B2-48AA-A0B5-40F772BFD4C0}">
  <dimension ref="A1:F153"/>
  <sheetViews>
    <sheetView topLeftCell="A98" zoomScale="80" zoomScaleNormal="80" workbookViewId="0">
      <selection activeCell="D123" sqref="D123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756887.5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1225643.03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229523.01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2212053.54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120904.58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919912.15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892618.6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1933435.33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2212053.54</v>
      </c>
      <c r="E27" s="78" t="s">
        <v>164</v>
      </c>
      <c r="F27" s="78">
        <f>+D18</f>
        <v>1933435.33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1933435.33</v>
      </c>
      <c r="E28" s="80" t="s">
        <v>172</v>
      </c>
      <c r="F28" s="80">
        <f>+D11</f>
        <v>2212053.54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1.1441052646948373</v>
      </c>
      <c r="E29" s="83" t="s">
        <v>180</v>
      </c>
      <c r="F29" s="83">
        <f>IFERROR(F27/F28,"")</f>
        <v>0.8740454491892633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69147.91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124563.38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193711.29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2981.31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24008.880000000001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26990.190000000002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193711.29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26990.190000000002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220701.48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2084125.28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119106.73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2203232.0100000002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220701.48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2203232.0100000002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0.10017169276693651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88941.83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88941.83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199159.36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80437.27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32.369999999999997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141.88999999999999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29529.31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89083.25999999998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88941.83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89083.25999999998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0.99841238409999833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63B-B758-4012-AD2F-29378DD99351}">
  <dimension ref="A1:F153"/>
  <sheetViews>
    <sheetView topLeftCell="A99" zoomScale="80" zoomScaleNormal="80" workbookViewId="0">
      <selection activeCell="D124" sqref="D124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802034.23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1422586.07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114263.33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2338883.63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217699.41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891417.61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865953.19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1975070.21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2338883.63</v>
      </c>
      <c r="E27" s="78" t="s">
        <v>164</v>
      </c>
      <c r="F27" s="78">
        <f>+D18</f>
        <v>1975070.21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1975070.21</v>
      </c>
      <c r="E28" s="80" t="s">
        <v>172</v>
      </c>
      <c r="F28" s="80">
        <f>+D11</f>
        <v>2338883.63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1.1842027782900943</v>
      </c>
      <c r="E29" s="83" t="s">
        <v>180</v>
      </c>
      <c r="F29" s="83">
        <f>IFERROR(F27/F28,"")</f>
        <v>0.84444996949249673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38586.71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92990.21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131576.92000000001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3876.33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26370.639999999999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30246.97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131576.92000000001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30246.97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161823.89000000001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2261073.2000000002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125370.99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2386444.1900000004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161823.89000000001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2386444.1900000004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6.780962684067629E-2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105859.37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105859.37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234973.46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93274.31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644.71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766.38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35801.22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105776.26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105859.37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105776.26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1.0007857150555333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E6660-DB00-4D33-84CD-5FDDBA1C3BC1}">
  <dimension ref="A1:F153"/>
  <sheetViews>
    <sheetView topLeftCell="A98" zoomScale="80" zoomScaleNormal="80" workbookViewId="0">
      <selection activeCell="E117" sqref="E117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761120.01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1388794.31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102601.27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2252515.5900000003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164173.42000000001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928579.78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839217.24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1931970.44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2252515.5900000003</v>
      </c>
      <c r="E27" s="78" t="s">
        <v>164</v>
      </c>
      <c r="F27" s="78">
        <f>+D18</f>
        <v>1931970.44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1931970.44</v>
      </c>
      <c r="E28" s="80" t="s">
        <v>172</v>
      </c>
      <c r="F28" s="80">
        <f>+D11</f>
        <v>2252515.5900000003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1.1659161772682196</v>
      </c>
      <c r="E29" s="83" t="s">
        <v>180</v>
      </c>
      <c r="F29" s="83">
        <f>IFERROR(F27/F28,"")</f>
        <v>0.85769459202721865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81881.73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102213.86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184095.59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6363.11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24742.35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31105.46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184095.59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31105.46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215201.05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2233553.09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131562.28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2365115.3699999996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215201.05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2365115.3699999996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9.0989662800254861E-2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118902.41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118902.41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268190.23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107072.68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1183.54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1319.07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41998.23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118983.78999999996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118902.41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118983.78999999996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0.99931604128596041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AD85-AFE4-40B4-8794-F1A24A1E4FFA}">
  <dimension ref="A1:F153"/>
  <sheetViews>
    <sheetView topLeftCell="A92" zoomScale="80" zoomScaleNormal="80" workbookViewId="0">
      <selection activeCell="E108" sqref="E108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860812.7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1289034.1499999999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98376.67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2248223.5199999996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159977.06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922966.43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812309.17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1895252.6600000001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2248223.5199999996</v>
      </c>
      <c r="E27" s="78" t="s">
        <v>164</v>
      </c>
      <c r="F27" s="78">
        <f>+D18</f>
        <v>1895252.6600000001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1895252.6600000001</v>
      </c>
      <c r="E28" s="80" t="s">
        <v>172</v>
      </c>
      <c r="F28" s="80">
        <f>+D11</f>
        <v>2248223.5199999996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1.1862394747938247</v>
      </c>
      <c r="E29" s="83" t="s">
        <v>180</v>
      </c>
      <c r="F29" s="83">
        <f>IFERROR(F27/F28,"")</f>
        <v>0.84300010347725596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50412.13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159856.01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210268.14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6496.87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28455.599999999999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34952.47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210268.14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34952.47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245220.61000000002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2252102.7999999998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142964.66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2395067.46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245220.61000000002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2395067.46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0.10238567977538304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142028.41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142028.41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316514.71999999997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120843.58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2035.51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2169.04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53400.61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142136.99999999997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142028.41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142136.99999999997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0.99923601877062296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7B05-A0A4-4FD7-B3F8-F6D798349F47}">
  <dimension ref="A1:F153"/>
  <sheetViews>
    <sheetView topLeftCell="A94" zoomScale="80" zoomScaleNormal="80" workbookViewId="0">
      <selection activeCell="E113" sqref="E113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910553.77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1289324.32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154544.93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2354423.02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160145.89000000001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975445.99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785182.64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1920774.52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2354423.02</v>
      </c>
      <c r="E27" s="78" t="s">
        <v>164</v>
      </c>
      <c r="F27" s="78">
        <f>+D18</f>
        <v>1920774.52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1920774.52</v>
      </c>
      <c r="E28" s="80" t="s">
        <v>172</v>
      </c>
      <c r="F28" s="80">
        <f>+D11</f>
        <v>2354423.02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1.2257675200731004</v>
      </c>
      <c r="E29" s="83" t="s">
        <v>180</v>
      </c>
      <c r="F29" s="83">
        <f>IFERROR(F27/F28,"")</f>
        <v>0.81581538393215336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19271.189999999999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127504.42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146775.60999999999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4014.65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29693.06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33707.71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146775.60999999999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33707.71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180483.31999999998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2226039.5699999998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154321.84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2380361.4099999997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180483.31999999998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2380361.4099999997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7.582181396563642E-2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152728.39000000001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152728.39000000001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353998.4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135772.53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2996.88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3143.45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64831.46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153247.84000000003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152728.39000000001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153247.84000000003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0.99661039268155416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6753-A081-48C9-A1C3-90E3DCD41C0D}">
  <dimension ref="A1:F153"/>
  <sheetViews>
    <sheetView topLeftCell="A72" zoomScale="80" zoomScaleNormal="80" workbookViewId="0">
      <selection activeCell="F92" sqref="F92"/>
    </sheetView>
  </sheetViews>
  <sheetFormatPr baseColWidth="10" defaultRowHeight="14.4" x14ac:dyDescent="0.3"/>
  <cols>
    <col min="2" max="2" width="17.33203125" customWidth="1"/>
    <col min="3" max="3" width="54.6640625" customWidth="1"/>
    <col min="4" max="4" width="25.33203125" customWidth="1"/>
    <col min="5" max="5" width="36.33203125" customWidth="1"/>
    <col min="6" max="6" width="20.6640625" customWidth="1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103" t="s">
        <v>222</v>
      </c>
      <c r="B2" s="104"/>
      <c r="C2" s="104"/>
      <c r="D2" s="104"/>
      <c r="E2" s="104"/>
      <c r="F2" s="104"/>
    </row>
    <row r="3" spans="1:6" x14ac:dyDescent="0.3">
      <c r="A3" s="97" t="s">
        <v>182</v>
      </c>
      <c r="B3" s="2"/>
      <c r="C3" s="2"/>
      <c r="D3" s="2"/>
      <c r="E3" s="2"/>
      <c r="F3" s="2"/>
    </row>
    <row r="4" spans="1:6" x14ac:dyDescent="0.3">
      <c r="A4" s="85"/>
      <c r="B4" s="2"/>
      <c r="C4" s="2"/>
      <c r="D4" s="2"/>
      <c r="E4" s="2"/>
      <c r="F4" s="2"/>
    </row>
    <row r="5" spans="1:6" x14ac:dyDescent="0.3">
      <c r="A5" s="85" t="s">
        <v>165</v>
      </c>
      <c r="B5" s="2"/>
      <c r="C5" s="2"/>
      <c r="D5" s="2"/>
      <c r="E5" s="2"/>
      <c r="F5" s="2"/>
    </row>
    <row r="6" spans="1:6" x14ac:dyDescent="0.3">
      <c r="A6" s="59" t="s">
        <v>166</v>
      </c>
      <c r="B6" s="59" t="s">
        <v>1</v>
      </c>
      <c r="C6" s="59" t="s">
        <v>160</v>
      </c>
      <c r="D6" s="73" t="s">
        <v>162</v>
      </c>
      <c r="E6" s="2"/>
      <c r="F6" s="2"/>
    </row>
    <row r="7" spans="1:6" x14ac:dyDescent="0.3">
      <c r="A7" s="85" t="s">
        <v>167</v>
      </c>
      <c r="B7" s="2">
        <v>1402</v>
      </c>
      <c r="C7" s="2" t="s">
        <v>168</v>
      </c>
      <c r="D7" s="2">
        <v>924574.14</v>
      </c>
      <c r="E7" s="2"/>
      <c r="F7" s="2"/>
    </row>
    <row r="8" spans="1:6" x14ac:dyDescent="0.3">
      <c r="A8" s="85" t="s">
        <v>167</v>
      </c>
      <c r="B8" s="2">
        <v>1404</v>
      </c>
      <c r="C8" s="2" t="s">
        <v>169</v>
      </c>
      <c r="D8" s="3">
        <v>1297246.99</v>
      </c>
      <c r="E8" s="2"/>
      <c r="F8" s="2"/>
    </row>
    <row r="9" spans="1:6" x14ac:dyDescent="0.3">
      <c r="A9" s="85" t="s">
        <v>167</v>
      </c>
      <c r="B9" s="2">
        <v>1103</v>
      </c>
      <c r="C9" s="2" t="s">
        <v>170</v>
      </c>
      <c r="D9" s="2">
        <v>123385.42</v>
      </c>
      <c r="E9" s="2"/>
      <c r="F9" s="2"/>
    </row>
    <row r="10" spans="1:6" x14ac:dyDescent="0.3">
      <c r="A10" s="85" t="s">
        <v>161</v>
      </c>
      <c r="B10" s="2">
        <v>1303</v>
      </c>
      <c r="C10" s="2" t="s">
        <v>4</v>
      </c>
      <c r="D10" s="3">
        <v>0</v>
      </c>
      <c r="E10" s="2"/>
      <c r="F10" s="2"/>
    </row>
    <row r="11" spans="1:6" x14ac:dyDescent="0.3">
      <c r="A11" s="72" t="s">
        <v>171</v>
      </c>
      <c r="B11" s="73"/>
      <c r="C11" s="70" t="s">
        <v>172</v>
      </c>
      <c r="D11" s="71">
        <f>SUM(D7:D10)</f>
        <v>2345206.5499999998</v>
      </c>
      <c r="E11" s="2"/>
      <c r="F11" s="2"/>
    </row>
    <row r="12" spans="1:6" x14ac:dyDescent="0.3">
      <c r="A12" s="85"/>
      <c r="B12" s="2"/>
      <c r="C12" s="2"/>
      <c r="D12" s="2"/>
      <c r="E12" s="2"/>
      <c r="F12" s="2"/>
    </row>
    <row r="13" spans="1:6" x14ac:dyDescent="0.3">
      <c r="A13" s="85" t="s">
        <v>173</v>
      </c>
      <c r="B13" s="2"/>
      <c r="C13" s="2"/>
      <c r="D13" s="2"/>
      <c r="E13" s="2"/>
      <c r="F13" s="2"/>
    </row>
    <row r="14" spans="1:6" x14ac:dyDescent="0.3">
      <c r="A14" s="59" t="s">
        <v>166</v>
      </c>
      <c r="B14" s="59" t="s">
        <v>1</v>
      </c>
      <c r="C14" s="59" t="s">
        <v>160</v>
      </c>
      <c r="D14" s="73" t="s">
        <v>162</v>
      </c>
      <c r="E14" s="2"/>
      <c r="F14" s="2"/>
    </row>
    <row r="15" spans="1:6" x14ac:dyDescent="0.3">
      <c r="A15" s="85" t="s">
        <v>167</v>
      </c>
      <c r="B15" s="2">
        <v>2101</v>
      </c>
      <c r="C15" s="2" t="s">
        <v>38</v>
      </c>
      <c r="D15" s="2">
        <v>127314.77</v>
      </c>
      <c r="E15" s="2"/>
      <c r="F15" s="2"/>
    </row>
    <row r="16" spans="1:6" x14ac:dyDescent="0.3">
      <c r="A16" s="85" t="s">
        <v>167</v>
      </c>
      <c r="B16" s="2">
        <v>2103</v>
      </c>
      <c r="C16" s="2" t="s">
        <v>34</v>
      </c>
      <c r="D16" s="2">
        <v>1000543.49</v>
      </c>
      <c r="E16" s="2"/>
      <c r="F16" s="2"/>
    </row>
    <row r="17" spans="1:6" x14ac:dyDescent="0.3">
      <c r="A17" s="85" t="s">
        <v>167</v>
      </c>
      <c r="B17" s="2">
        <v>2690</v>
      </c>
      <c r="C17" s="2" t="s">
        <v>218</v>
      </c>
      <c r="D17" s="3">
        <v>758013.47</v>
      </c>
      <c r="E17" s="2"/>
      <c r="F17" s="2"/>
    </row>
    <row r="18" spans="1:6" x14ac:dyDescent="0.3">
      <c r="A18" s="72" t="s">
        <v>171</v>
      </c>
      <c r="B18" s="73"/>
      <c r="C18" s="70" t="s">
        <v>172</v>
      </c>
      <c r="D18" s="71">
        <f>SUM(D15:D17)</f>
        <v>1885871.73</v>
      </c>
      <c r="E18" s="2"/>
      <c r="F18" s="2"/>
    </row>
    <row r="19" spans="1:6" x14ac:dyDescent="0.3">
      <c r="A19" s="85"/>
      <c r="B19" s="2"/>
      <c r="C19" s="2"/>
      <c r="D19" s="2"/>
      <c r="E19" s="2"/>
      <c r="F19" s="2"/>
    </row>
    <row r="20" spans="1:6" x14ac:dyDescent="0.3">
      <c r="A20" s="85"/>
      <c r="B20" s="2"/>
      <c r="C20" s="2"/>
      <c r="D20" s="2"/>
      <c r="E20" s="2"/>
      <c r="F20" s="2"/>
    </row>
    <row r="21" spans="1:6" x14ac:dyDescent="0.3">
      <c r="A21" s="85"/>
      <c r="B21" s="2"/>
      <c r="C21" s="2"/>
      <c r="D21" s="2"/>
      <c r="E21" s="2"/>
      <c r="F21" s="2"/>
    </row>
    <row r="22" spans="1:6" x14ac:dyDescent="0.3">
      <c r="A22" s="85" t="s">
        <v>174</v>
      </c>
      <c r="B22" s="2"/>
      <c r="C22" s="2" t="s">
        <v>176</v>
      </c>
      <c r="D22" s="2"/>
      <c r="E22" s="2"/>
      <c r="F22" s="2"/>
    </row>
    <row r="23" spans="1:6" x14ac:dyDescent="0.3">
      <c r="A23" s="85"/>
      <c r="B23" s="2"/>
      <c r="D23" s="2"/>
      <c r="E23" s="2"/>
      <c r="F23" s="2"/>
    </row>
    <row r="24" spans="1:6" x14ac:dyDescent="0.3">
      <c r="A24" s="85"/>
      <c r="B24" s="2"/>
      <c r="C24" s="2" t="s">
        <v>175</v>
      </c>
      <c r="D24" s="2"/>
      <c r="E24" s="2"/>
      <c r="F24" s="2"/>
    </row>
    <row r="25" spans="1:6" x14ac:dyDescent="0.3">
      <c r="A25" s="85"/>
      <c r="B25" s="2"/>
      <c r="C25" s="2"/>
      <c r="D25" s="2"/>
      <c r="E25" s="2"/>
      <c r="F25" s="2"/>
    </row>
    <row r="26" spans="1:6" x14ac:dyDescent="0.3">
      <c r="A26" s="98" t="s">
        <v>177</v>
      </c>
      <c r="B26" s="69"/>
      <c r="C26" s="69" t="s">
        <v>100</v>
      </c>
      <c r="D26" s="74" t="s">
        <v>162</v>
      </c>
      <c r="E26" s="69" t="s">
        <v>100</v>
      </c>
      <c r="F26" s="69" t="s">
        <v>100</v>
      </c>
    </row>
    <row r="27" spans="1:6" x14ac:dyDescent="0.3">
      <c r="A27" s="99" t="s">
        <v>178</v>
      </c>
      <c r="B27" s="76"/>
      <c r="C27" s="77" t="s">
        <v>172</v>
      </c>
      <c r="D27" s="74">
        <f>+D11</f>
        <v>2345206.5499999998</v>
      </c>
      <c r="E27" s="78" t="s">
        <v>164</v>
      </c>
      <c r="F27" s="78">
        <f>+D18</f>
        <v>1885871.73</v>
      </c>
    </row>
    <row r="28" spans="1:6" ht="22.8" x14ac:dyDescent="0.3">
      <c r="A28" s="99" t="s">
        <v>179</v>
      </c>
      <c r="B28" s="75"/>
      <c r="C28" s="79" t="s">
        <v>164</v>
      </c>
      <c r="D28" s="74">
        <f>+D18</f>
        <v>1885871.73</v>
      </c>
      <c r="E28" s="80" t="s">
        <v>172</v>
      </c>
      <c r="F28" s="80">
        <f>+D11</f>
        <v>2345206.5499999998</v>
      </c>
    </row>
    <row r="29" spans="1:6" x14ac:dyDescent="0.3">
      <c r="A29" s="98" t="s">
        <v>163</v>
      </c>
      <c r="B29" s="68"/>
      <c r="C29" s="81" t="s">
        <v>181</v>
      </c>
      <c r="D29" s="82">
        <f>+D27/D28</f>
        <v>1.243566310843421</v>
      </c>
      <c r="E29" s="83" t="s">
        <v>180</v>
      </c>
      <c r="F29" s="83">
        <f>IFERROR(F27/F28,"")</f>
        <v>0.80413886358964848</v>
      </c>
    </row>
    <row r="30" spans="1:6" x14ac:dyDescent="0.3">
      <c r="A30" s="85"/>
      <c r="B30" s="2"/>
      <c r="C30" s="2"/>
      <c r="D30" s="2"/>
      <c r="E30" s="2"/>
      <c r="F30" s="2"/>
    </row>
    <row r="31" spans="1:6" x14ac:dyDescent="0.3">
      <c r="A31" s="100"/>
      <c r="B31" s="4"/>
      <c r="C31" s="4"/>
      <c r="D31" s="4"/>
      <c r="E31" s="4"/>
      <c r="F31" s="4"/>
    </row>
    <row r="32" spans="1:6" x14ac:dyDescent="0.3">
      <c r="A32" s="95"/>
      <c r="B32" s="96"/>
      <c r="C32" s="96"/>
      <c r="D32" s="96"/>
      <c r="E32" s="96"/>
      <c r="F32" s="96"/>
    </row>
    <row r="33" spans="1:6" x14ac:dyDescent="0.3">
      <c r="A33" s="85"/>
      <c r="B33" s="2"/>
      <c r="C33" s="2"/>
      <c r="D33" s="2"/>
      <c r="E33" s="2"/>
      <c r="F33" s="2"/>
    </row>
    <row r="34" spans="1:6" x14ac:dyDescent="0.3">
      <c r="A34" s="85"/>
      <c r="B34" s="2"/>
      <c r="C34" s="2"/>
      <c r="D34" s="2"/>
      <c r="E34" s="2"/>
      <c r="F34" s="2"/>
    </row>
    <row r="35" spans="1:6" x14ac:dyDescent="0.3">
      <c r="A35" s="101" t="s">
        <v>183</v>
      </c>
      <c r="B35" s="96"/>
      <c r="C35" s="96"/>
      <c r="D35" s="96"/>
      <c r="E35" s="96"/>
      <c r="F35" s="96"/>
    </row>
    <row r="36" spans="1:6" x14ac:dyDescent="0.3">
      <c r="A36" s="85"/>
      <c r="B36" s="2"/>
      <c r="C36" s="2"/>
      <c r="D36" s="2"/>
      <c r="E36" s="2"/>
      <c r="F36" s="2"/>
    </row>
    <row r="37" spans="1:6" x14ac:dyDescent="0.3">
      <c r="A37" s="85" t="s">
        <v>184</v>
      </c>
      <c r="B37" s="2"/>
      <c r="C37" s="2"/>
      <c r="D37" s="2"/>
      <c r="E37" s="2"/>
      <c r="F37" s="2"/>
    </row>
    <row r="38" spans="1:6" x14ac:dyDescent="0.3">
      <c r="A38" s="59" t="s">
        <v>166</v>
      </c>
      <c r="B38" s="59" t="s">
        <v>1</v>
      </c>
      <c r="C38" s="59" t="s">
        <v>160</v>
      </c>
      <c r="D38" s="73" t="s">
        <v>162</v>
      </c>
      <c r="E38" s="2"/>
      <c r="F38" s="2"/>
    </row>
    <row r="39" spans="1:6" x14ac:dyDescent="0.3">
      <c r="A39" s="85" t="s">
        <v>167</v>
      </c>
      <c r="B39" s="2">
        <v>1426</v>
      </c>
      <c r="C39" s="2" t="s">
        <v>185</v>
      </c>
      <c r="D39" s="2">
        <v>40153.230000000003</v>
      </c>
      <c r="E39" s="2"/>
      <c r="F39" s="2"/>
    </row>
    <row r="40" spans="1:6" x14ac:dyDescent="0.3">
      <c r="A40" s="85" t="s">
        <v>167</v>
      </c>
      <c r="B40" s="2">
        <v>1428</v>
      </c>
      <c r="C40" s="2" t="s">
        <v>186</v>
      </c>
      <c r="D40" s="2">
        <v>97374.71</v>
      </c>
      <c r="E40" s="2"/>
      <c r="F40" s="2"/>
    </row>
    <row r="41" spans="1:6" x14ac:dyDescent="0.3">
      <c r="A41" s="85"/>
      <c r="B41" s="2"/>
      <c r="C41" s="2"/>
      <c r="D41" s="2"/>
      <c r="E41" s="2"/>
      <c r="F41" s="2"/>
    </row>
    <row r="42" spans="1:6" x14ac:dyDescent="0.3">
      <c r="A42" s="72" t="s">
        <v>171</v>
      </c>
      <c r="B42" s="73"/>
      <c r="C42" s="70" t="s">
        <v>184</v>
      </c>
      <c r="D42" s="71">
        <f>SUM(D39:D41)</f>
        <v>137527.94</v>
      </c>
      <c r="E42" s="2"/>
      <c r="F42" s="2"/>
    </row>
    <row r="43" spans="1:6" x14ac:dyDescent="0.3">
      <c r="A43" s="85"/>
      <c r="B43" s="2"/>
      <c r="C43" s="2"/>
      <c r="D43" s="2"/>
      <c r="E43" s="2"/>
      <c r="F43" s="2"/>
    </row>
    <row r="44" spans="1:6" x14ac:dyDescent="0.3">
      <c r="A44" s="85"/>
      <c r="B44" s="2"/>
      <c r="C44" s="2"/>
      <c r="D44" s="2"/>
      <c r="E44" s="2"/>
      <c r="F44" s="2"/>
    </row>
    <row r="45" spans="1:6" x14ac:dyDescent="0.3">
      <c r="A45" s="85" t="s">
        <v>187</v>
      </c>
      <c r="B45" s="2"/>
      <c r="C45" s="2"/>
      <c r="D45" s="2"/>
      <c r="E45" s="2"/>
      <c r="F45" s="2"/>
    </row>
    <row r="46" spans="1:6" x14ac:dyDescent="0.3">
      <c r="A46" s="59" t="s">
        <v>166</v>
      </c>
      <c r="B46" s="59" t="s">
        <v>1</v>
      </c>
      <c r="C46" s="59" t="s">
        <v>160</v>
      </c>
      <c r="D46" s="73" t="s">
        <v>162</v>
      </c>
      <c r="E46" s="2"/>
      <c r="F46" s="2"/>
    </row>
    <row r="47" spans="1:6" x14ac:dyDescent="0.3">
      <c r="A47" s="85" t="s">
        <v>167</v>
      </c>
      <c r="B47" s="2">
        <v>1450</v>
      </c>
      <c r="C47" s="2" t="s">
        <v>188</v>
      </c>
      <c r="D47" s="2">
        <v>4641.05</v>
      </c>
      <c r="E47" s="2"/>
      <c r="F47" s="2"/>
    </row>
    <row r="48" spans="1:6" x14ac:dyDescent="0.3">
      <c r="A48" s="85" t="s">
        <v>167</v>
      </c>
      <c r="B48" s="2">
        <v>1452</v>
      </c>
      <c r="C48" s="2" t="s">
        <v>189</v>
      </c>
      <c r="D48" s="2">
        <v>31846.06</v>
      </c>
      <c r="E48" s="2"/>
      <c r="F48" s="2"/>
    </row>
    <row r="49" spans="1:6" x14ac:dyDescent="0.3">
      <c r="A49" s="85"/>
      <c r="B49" s="2"/>
      <c r="C49" s="2"/>
      <c r="D49" s="2"/>
      <c r="E49" s="2"/>
      <c r="F49" s="2"/>
    </row>
    <row r="50" spans="1:6" x14ac:dyDescent="0.3">
      <c r="A50" s="72" t="s">
        <v>171</v>
      </c>
      <c r="B50" s="73"/>
      <c r="C50" s="70" t="s">
        <v>187</v>
      </c>
      <c r="D50" s="71">
        <f>SUM(D47:D49)</f>
        <v>36487.11</v>
      </c>
      <c r="E50" s="2"/>
      <c r="F50" s="2"/>
    </row>
    <row r="51" spans="1:6" x14ac:dyDescent="0.3">
      <c r="A51" s="85"/>
      <c r="B51" s="2"/>
      <c r="C51" s="2"/>
      <c r="D51" s="2"/>
      <c r="E51" s="2"/>
      <c r="F51" s="2"/>
    </row>
    <row r="52" spans="1:6" x14ac:dyDescent="0.3">
      <c r="A52" s="85" t="s">
        <v>190</v>
      </c>
      <c r="B52" s="2"/>
      <c r="C52" s="2"/>
      <c r="D52" s="2"/>
      <c r="E52" s="2"/>
      <c r="F52" s="2"/>
    </row>
    <row r="53" spans="1:6" x14ac:dyDescent="0.3">
      <c r="A53" s="59" t="s">
        <v>166</v>
      </c>
      <c r="B53" s="59" t="s">
        <v>1</v>
      </c>
      <c r="C53" s="59" t="s">
        <v>160</v>
      </c>
      <c r="D53" s="73" t="s">
        <v>162</v>
      </c>
      <c r="E53" s="2"/>
      <c r="F53" s="2"/>
    </row>
    <row r="54" spans="1:6" x14ac:dyDescent="0.3">
      <c r="A54" s="85" t="s">
        <v>167</v>
      </c>
      <c r="B54" s="2"/>
      <c r="C54" s="2" t="s">
        <v>184</v>
      </c>
      <c r="D54" s="2">
        <f>+D42</f>
        <v>137527.94</v>
      </c>
      <c r="E54" s="2"/>
      <c r="F54" s="2"/>
    </row>
    <row r="55" spans="1:6" x14ac:dyDescent="0.3">
      <c r="A55" s="85" t="s">
        <v>167</v>
      </c>
      <c r="B55" s="2"/>
      <c r="C55" s="2" t="s">
        <v>187</v>
      </c>
      <c r="D55" s="2">
        <f>+D50</f>
        <v>36487.11</v>
      </c>
      <c r="E55" s="2"/>
      <c r="F55" s="2"/>
    </row>
    <row r="56" spans="1:6" x14ac:dyDescent="0.3">
      <c r="A56" s="85"/>
      <c r="B56" s="2"/>
      <c r="C56" s="2"/>
      <c r="D56" s="2"/>
      <c r="E56" s="2"/>
      <c r="F56" s="2"/>
    </row>
    <row r="57" spans="1:6" x14ac:dyDescent="0.3">
      <c r="A57" s="72" t="s">
        <v>171</v>
      </c>
      <c r="B57" s="73"/>
      <c r="C57" s="70" t="s">
        <v>191</v>
      </c>
      <c r="D57" s="71">
        <f>SUM(D54:D56)</f>
        <v>174015.05</v>
      </c>
      <c r="E57" s="2"/>
      <c r="F57" s="2"/>
    </row>
    <row r="58" spans="1:6" x14ac:dyDescent="0.3">
      <c r="A58" s="85"/>
      <c r="B58" s="2"/>
      <c r="C58" s="2"/>
      <c r="D58" s="2"/>
      <c r="E58" s="2"/>
      <c r="F58" s="2"/>
    </row>
    <row r="59" spans="1:6" x14ac:dyDescent="0.3">
      <c r="A59" s="85"/>
      <c r="B59" s="2"/>
      <c r="C59" s="2"/>
      <c r="D59" s="2"/>
      <c r="E59" s="2"/>
      <c r="F59" s="2"/>
    </row>
    <row r="60" spans="1:6" x14ac:dyDescent="0.3">
      <c r="A60" s="85" t="s">
        <v>192</v>
      </c>
      <c r="B60" s="2"/>
      <c r="C60" s="2"/>
      <c r="D60" s="2"/>
      <c r="E60" s="2"/>
      <c r="F60" s="2"/>
    </row>
    <row r="61" spans="1:6" x14ac:dyDescent="0.3">
      <c r="A61" s="59" t="s">
        <v>166</v>
      </c>
      <c r="B61" s="59" t="s">
        <v>1</v>
      </c>
      <c r="C61" s="59" t="s">
        <v>160</v>
      </c>
      <c r="D61" s="73" t="s">
        <v>162</v>
      </c>
      <c r="E61" s="2"/>
      <c r="F61" s="2"/>
    </row>
    <row r="62" spans="1:6" x14ac:dyDescent="0.3">
      <c r="A62" s="85" t="s">
        <v>167</v>
      </c>
      <c r="B62" s="2">
        <v>14</v>
      </c>
      <c r="C62" s="2" t="s">
        <v>193</v>
      </c>
      <c r="D62" s="2">
        <v>2234359.66</v>
      </c>
      <c r="E62" s="2"/>
      <c r="F62" s="2"/>
    </row>
    <row r="63" spans="1:6" x14ac:dyDescent="0.3">
      <c r="A63" s="85" t="s">
        <v>167</v>
      </c>
      <c r="B63" s="2">
        <v>1499</v>
      </c>
      <c r="C63" s="2" t="s">
        <v>194</v>
      </c>
      <c r="D63" s="2">
        <v>161476.51999999999</v>
      </c>
      <c r="E63" s="2"/>
      <c r="F63" s="2"/>
    </row>
    <row r="64" spans="1:6" x14ac:dyDescent="0.3">
      <c r="A64" s="85"/>
      <c r="B64" s="2"/>
      <c r="C64" s="2"/>
      <c r="D64" s="2"/>
      <c r="E64" s="2"/>
      <c r="F64" s="2"/>
    </row>
    <row r="65" spans="1:6" x14ac:dyDescent="0.3">
      <c r="A65" s="72" t="s">
        <v>171</v>
      </c>
      <c r="B65" s="73"/>
      <c r="C65" s="70" t="s">
        <v>191</v>
      </c>
      <c r="D65" s="71">
        <f>SUM(D62:D64)</f>
        <v>2395836.1800000002</v>
      </c>
      <c r="E65" s="2"/>
      <c r="F65" s="2"/>
    </row>
    <row r="66" spans="1:6" x14ac:dyDescent="0.3">
      <c r="A66" s="85"/>
      <c r="B66" s="2"/>
      <c r="C66" s="2"/>
      <c r="D66" s="2"/>
      <c r="E66" s="2"/>
      <c r="F66" s="2"/>
    </row>
    <row r="67" spans="1:6" x14ac:dyDescent="0.3">
      <c r="A67" s="85"/>
      <c r="B67" s="2"/>
      <c r="C67" s="2"/>
      <c r="D67" s="2"/>
      <c r="E67" s="2"/>
      <c r="F67" s="2"/>
    </row>
    <row r="68" spans="1:6" x14ac:dyDescent="0.3">
      <c r="A68" s="85" t="s">
        <v>174</v>
      </c>
      <c r="B68" s="2"/>
      <c r="C68" s="102" t="s">
        <v>195</v>
      </c>
      <c r="D68" s="2"/>
      <c r="E68" s="2"/>
      <c r="F68" s="2"/>
    </row>
    <row r="69" spans="1:6" x14ac:dyDescent="0.3">
      <c r="A69" s="85"/>
      <c r="B69" s="2"/>
      <c r="C69" s="102" t="s">
        <v>196</v>
      </c>
      <c r="D69" s="2"/>
      <c r="E69" s="2"/>
      <c r="F69" s="2"/>
    </row>
    <row r="70" spans="1:6" x14ac:dyDescent="0.3">
      <c r="A70" s="85"/>
      <c r="B70" s="2"/>
      <c r="C70" s="2"/>
      <c r="D70" s="2"/>
      <c r="E70" s="2"/>
      <c r="F70" s="2"/>
    </row>
    <row r="71" spans="1:6" x14ac:dyDescent="0.3">
      <c r="A71" s="59"/>
      <c r="B71" s="59" t="s">
        <v>197</v>
      </c>
      <c r="C71" s="59" t="s">
        <v>160</v>
      </c>
      <c r="D71" s="73" t="s">
        <v>162</v>
      </c>
      <c r="E71" s="2"/>
      <c r="F71" s="2"/>
    </row>
    <row r="72" spans="1:6" x14ac:dyDescent="0.3">
      <c r="A72" s="85"/>
      <c r="B72" s="2" t="s">
        <v>198</v>
      </c>
      <c r="C72" s="2" t="s">
        <v>191</v>
      </c>
      <c r="D72" s="2">
        <f>+D57</f>
        <v>174015.05</v>
      </c>
      <c r="E72" s="2"/>
      <c r="F72" s="2"/>
    </row>
    <row r="73" spans="1:6" x14ac:dyDescent="0.3">
      <c r="A73" s="85"/>
      <c r="B73" s="2" t="s">
        <v>199</v>
      </c>
      <c r="C73" s="2" t="s">
        <v>200</v>
      </c>
      <c r="D73" s="2">
        <f>+D65</f>
        <v>2395836.1800000002</v>
      </c>
      <c r="E73" s="2"/>
      <c r="F73" s="2"/>
    </row>
    <row r="74" spans="1:6" x14ac:dyDescent="0.3">
      <c r="A74" s="85"/>
      <c r="B74" s="2"/>
      <c r="C74" s="2"/>
      <c r="D74" s="2"/>
      <c r="E74" s="2" t="s">
        <v>202</v>
      </c>
      <c r="F74" s="2"/>
    </row>
    <row r="75" spans="1:6" x14ac:dyDescent="0.3">
      <c r="A75" s="72"/>
      <c r="B75" s="72" t="s">
        <v>171</v>
      </c>
      <c r="C75" s="70" t="s">
        <v>201</v>
      </c>
      <c r="D75" s="84">
        <f>+D72/D73</f>
        <v>7.2632282395868983E-2</v>
      </c>
      <c r="E75" s="2" t="s">
        <v>203</v>
      </c>
      <c r="F75" s="2"/>
    </row>
    <row r="76" spans="1:6" x14ac:dyDescent="0.3">
      <c r="A76" s="100"/>
      <c r="B76" s="4"/>
      <c r="C76" s="4"/>
      <c r="D76" s="4"/>
      <c r="E76" s="4"/>
      <c r="F76" s="4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ht="19.5" customHeight="1" x14ac:dyDescent="0.3">
      <c r="A79" s="2"/>
      <c r="B79" s="2"/>
      <c r="C79" s="6"/>
      <c r="D79" s="119"/>
      <c r="E79" s="2"/>
      <c r="F79" s="2"/>
    </row>
    <row r="80" spans="1:6" ht="19.5" customHeight="1" x14ac:dyDescent="0.3">
      <c r="A80" s="95" t="s">
        <v>221</v>
      </c>
      <c r="B80" s="96"/>
      <c r="C80" s="106"/>
      <c r="D80" s="107"/>
      <c r="E80" s="92"/>
      <c r="F80" s="2"/>
    </row>
    <row r="81" spans="1:6" ht="19.5" customHeight="1" x14ac:dyDescent="0.3">
      <c r="A81" s="85"/>
      <c r="B81" s="2"/>
      <c r="C81" s="6"/>
      <c r="D81" s="88"/>
      <c r="E81" s="93"/>
      <c r="F81" s="2"/>
    </row>
    <row r="82" spans="1:6" ht="19.5" customHeight="1" x14ac:dyDescent="0.3">
      <c r="A82" s="85" t="s">
        <v>205</v>
      </c>
      <c r="B82" s="2"/>
      <c r="C82" s="6"/>
      <c r="D82" s="88"/>
      <c r="E82" s="93"/>
      <c r="F82" s="2"/>
    </row>
    <row r="83" spans="1:6" ht="19.5" customHeight="1" x14ac:dyDescent="0.3">
      <c r="A83" s="85"/>
      <c r="B83" s="2"/>
      <c r="C83" s="6"/>
      <c r="D83" s="88"/>
      <c r="E83" s="93"/>
      <c r="F83" s="2"/>
    </row>
    <row r="84" spans="1:6" ht="19.5" customHeight="1" x14ac:dyDescent="0.3">
      <c r="A84" s="89" t="s">
        <v>166</v>
      </c>
      <c r="B84" s="59" t="s">
        <v>1</v>
      </c>
      <c r="C84" s="59" t="s">
        <v>160</v>
      </c>
      <c r="D84" s="73" t="s">
        <v>162</v>
      </c>
      <c r="E84" s="93"/>
      <c r="F84" s="2"/>
    </row>
    <row r="85" spans="1:6" ht="19.5" customHeight="1" x14ac:dyDescent="0.3">
      <c r="A85" s="85" t="s">
        <v>167</v>
      </c>
      <c r="B85" s="2">
        <v>45</v>
      </c>
      <c r="C85" s="2" t="s">
        <v>223</v>
      </c>
      <c r="D85" s="117">
        <v>164219.54</v>
      </c>
      <c r="E85" s="93"/>
      <c r="F85" s="2"/>
    </row>
    <row r="86" spans="1:6" ht="19.5" customHeight="1" x14ac:dyDescent="0.3">
      <c r="A86" s="85"/>
      <c r="B86" s="2"/>
      <c r="C86" s="2"/>
      <c r="D86" s="2"/>
      <c r="E86" s="93"/>
      <c r="F86" s="2"/>
    </row>
    <row r="87" spans="1:6" ht="19.5" customHeight="1" x14ac:dyDescent="0.3">
      <c r="A87" s="85"/>
      <c r="B87" s="2"/>
      <c r="C87" s="2"/>
      <c r="D87" s="2"/>
      <c r="E87" s="93"/>
      <c r="F87" s="2"/>
    </row>
    <row r="88" spans="1:6" ht="19.5" customHeight="1" x14ac:dyDescent="0.3">
      <c r="A88" s="72" t="s">
        <v>171</v>
      </c>
      <c r="B88" s="73"/>
      <c r="C88" s="70" t="s">
        <v>205</v>
      </c>
      <c r="D88" s="86">
        <f>+D85</f>
        <v>164219.54</v>
      </c>
      <c r="E88" s="93"/>
      <c r="F88" s="2"/>
    </row>
    <row r="89" spans="1:6" ht="19.5" customHeight="1" x14ac:dyDescent="0.3">
      <c r="A89" s="194" t="s">
        <v>206</v>
      </c>
      <c r="B89" s="195"/>
      <c r="C89" s="195"/>
      <c r="D89" s="195"/>
      <c r="E89" s="93"/>
      <c r="F89" s="2"/>
    </row>
    <row r="90" spans="1:6" ht="19.5" customHeight="1" x14ac:dyDescent="0.3">
      <c r="A90" s="85"/>
      <c r="B90" s="2"/>
      <c r="C90" s="6"/>
      <c r="D90" s="88"/>
      <c r="E90" s="93"/>
      <c r="F90" s="2"/>
    </row>
    <row r="91" spans="1:6" ht="19.5" customHeight="1" x14ac:dyDescent="0.3">
      <c r="A91" s="85" t="s">
        <v>207</v>
      </c>
      <c r="B91" s="2"/>
      <c r="C91" s="6"/>
      <c r="D91" s="88"/>
      <c r="E91" s="93"/>
      <c r="F91" s="2"/>
    </row>
    <row r="92" spans="1:6" ht="19.5" customHeight="1" x14ac:dyDescent="0.3">
      <c r="A92" s="85"/>
      <c r="B92" s="2"/>
      <c r="C92" s="6"/>
      <c r="D92" s="88"/>
      <c r="E92" s="93"/>
      <c r="F92" s="2"/>
    </row>
    <row r="93" spans="1:6" ht="19.5" customHeight="1" x14ac:dyDescent="0.3">
      <c r="A93" s="89" t="s">
        <v>166</v>
      </c>
      <c r="B93" s="59" t="s">
        <v>1</v>
      </c>
      <c r="C93" s="59" t="s">
        <v>160</v>
      </c>
      <c r="D93" s="73" t="s">
        <v>162</v>
      </c>
      <c r="E93" s="93"/>
      <c r="F93" s="2"/>
    </row>
    <row r="94" spans="1:6" ht="19.5" customHeight="1" x14ac:dyDescent="0.3">
      <c r="A94" s="85" t="s">
        <v>167</v>
      </c>
      <c r="B94" s="2">
        <v>51</v>
      </c>
      <c r="C94" s="2" t="s">
        <v>208</v>
      </c>
      <c r="D94" s="117">
        <v>387989.05</v>
      </c>
      <c r="E94" s="93"/>
      <c r="F94" s="2"/>
    </row>
    <row r="95" spans="1:6" ht="19.5" customHeight="1" x14ac:dyDescent="0.3">
      <c r="A95" s="85" t="s">
        <v>204</v>
      </c>
      <c r="B95" s="2">
        <v>41</v>
      </c>
      <c r="C95" s="2" t="s">
        <v>209</v>
      </c>
      <c r="D95" s="117">
        <v>150849.07</v>
      </c>
      <c r="E95" s="93"/>
      <c r="F95" s="2"/>
    </row>
    <row r="96" spans="1:6" ht="19.5" customHeight="1" x14ac:dyDescent="0.3">
      <c r="A96" s="85" t="s">
        <v>167</v>
      </c>
      <c r="B96" s="2">
        <v>52</v>
      </c>
      <c r="C96" s="2" t="s">
        <v>28</v>
      </c>
      <c r="D96" s="2"/>
      <c r="E96" s="93"/>
      <c r="F96" s="2"/>
    </row>
    <row r="97" spans="1:6" ht="19.5" customHeight="1" x14ac:dyDescent="0.3">
      <c r="A97" s="85" t="s">
        <v>167</v>
      </c>
      <c r="B97" s="2">
        <v>54</v>
      </c>
      <c r="C97" s="2" t="s">
        <v>30</v>
      </c>
      <c r="D97" s="117">
        <v>4050.83</v>
      </c>
      <c r="E97" s="93"/>
      <c r="F97" s="2"/>
    </row>
    <row r="98" spans="1:6" ht="19.5" customHeight="1" x14ac:dyDescent="0.3">
      <c r="A98" s="85" t="s">
        <v>204</v>
      </c>
      <c r="B98" s="2">
        <v>42</v>
      </c>
      <c r="C98" s="2" t="s">
        <v>210</v>
      </c>
      <c r="D98" s="117">
        <v>4211.59</v>
      </c>
      <c r="E98" s="93"/>
      <c r="F98" s="2"/>
    </row>
    <row r="99" spans="1:6" ht="19.5" customHeight="1" x14ac:dyDescent="0.3">
      <c r="A99" s="85" t="s">
        <v>167</v>
      </c>
      <c r="B99" s="2">
        <v>53</v>
      </c>
      <c r="C99" s="2" t="s">
        <v>29</v>
      </c>
      <c r="D99" s="2"/>
      <c r="E99" s="93"/>
      <c r="F99" s="2"/>
    </row>
    <row r="100" spans="1:6" ht="19.5" customHeight="1" x14ac:dyDescent="0.3">
      <c r="A100" s="85" t="s">
        <v>204</v>
      </c>
      <c r="B100" s="2">
        <v>43</v>
      </c>
      <c r="C100" s="2" t="s">
        <v>211</v>
      </c>
      <c r="D100" s="2"/>
      <c r="E100" s="93"/>
      <c r="F100" s="2"/>
    </row>
    <row r="101" spans="1:6" ht="19.5" customHeight="1" x14ac:dyDescent="0.3">
      <c r="A101" s="85" t="s">
        <v>167</v>
      </c>
      <c r="B101" s="2">
        <v>44</v>
      </c>
      <c r="C101" s="2" t="s">
        <v>26</v>
      </c>
      <c r="D101" s="117">
        <v>72031.399999999994</v>
      </c>
      <c r="E101" s="93"/>
      <c r="F101" s="2"/>
    </row>
    <row r="102" spans="1:6" ht="19.5" customHeight="1" x14ac:dyDescent="0.3">
      <c r="A102" s="85"/>
      <c r="B102" s="2"/>
      <c r="C102" s="2"/>
      <c r="D102" s="2"/>
      <c r="E102" s="93"/>
      <c r="F102" s="2"/>
    </row>
    <row r="103" spans="1:6" ht="19.5" customHeight="1" x14ac:dyDescent="0.3">
      <c r="A103" s="85"/>
      <c r="B103" s="2"/>
      <c r="C103" s="2"/>
      <c r="D103" s="2"/>
      <c r="E103" s="93"/>
      <c r="F103" s="2"/>
    </row>
    <row r="104" spans="1:6" ht="19.5" customHeight="1" x14ac:dyDescent="0.3">
      <c r="A104" s="72" t="s">
        <v>171</v>
      </c>
      <c r="B104" s="73"/>
      <c r="C104" s="70" t="s">
        <v>212</v>
      </c>
      <c r="D104" s="86">
        <f>+D94-D95-D101+D97-D98</f>
        <v>164947.81999999998</v>
      </c>
      <c r="E104" s="93"/>
      <c r="F104" s="2"/>
    </row>
    <row r="105" spans="1:6" ht="19.5" customHeight="1" x14ac:dyDescent="0.3">
      <c r="A105" s="85"/>
      <c r="B105" s="2"/>
      <c r="C105" s="6"/>
      <c r="D105" s="88"/>
      <c r="E105" s="93"/>
      <c r="F105" s="2"/>
    </row>
    <row r="106" spans="1:6" ht="19.5" customHeight="1" x14ac:dyDescent="0.3">
      <c r="A106" s="85"/>
      <c r="B106" s="2"/>
      <c r="C106" s="6"/>
      <c r="D106" s="88"/>
      <c r="E106" s="93"/>
      <c r="F106" s="2"/>
    </row>
    <row r="107" spans="1:6" ht="19.5" customHeight="1" x14ac:dyDescent="0.3">
      <c r="A107" s="85" t="s">
        <v>213</v>
      </c>
      <c r="B107" s="2"/>
      <c r="C107" s="6"/>
      <c r="D107" s="88"/>
      <c r="E107" s="93"/>
      <c r="F107" s="2"/>
    </row>
    <row r="108" spans="1:6" ht="19.5" customHeight="1" x14ac:dyDescent="0.3">
      <c r="A108" s="85"/>
      <c r="B108" s="2"/>
      <c r="C108" s="6"/>
      <c r="D108" s="88"/>
      <c r="E108" s="93"/>
      <c r="F108" s="2"/>
    </row>
    <row r="109" spans="1:6" ht="19.5" customHeight="1" x14ac:dyDescent="0.3">
      <c r="A109" s="85"/>
      <c r="B109" s="2"/>
      <c r="C109" s="102" t="s">
        <v>215</v>
      </c>
      <c r="D109" s="88"/>
      <c r="E109" s="93"/>
      <c r="F109" s="2"/>
    </row>
    <row r="110" spans="1:6" ht="19.5" customHeight="1" x14ac:dyDescent="0.3">
      <c r="A110" s="85"/>
      <c r="B110" s="2"/>
      <c r="C110" s="102" t="s">
        <v>214</v>
      </c>
      <c r="D110" s="88"/>
      <c r="E110" s="93"/>
      <c r="F110" s="2"/>
    </row>
    <row r="111" spans="1:6" ht="19.5" customHeight="1" x14ac:dyDescent="0.3">
      <c r="A111" s="85"/>
      <c r="B111" s="2"/>
      <c r="C111" s="6"/>
      <c r="D111" s="88"/>
      <c r="E111" s="93"/>
      <c r="F111" s="2"/>
    </row>
    <row r="112" spans="1:6" ht="19.5" customHeight="1" x14ac:dyDescent="0.3">
      <c r="A112" s="85"/>
      <c r="B112" s="59" t="s">
        <v>197</v>
      </c>
      <c r="C112" s="59" t="s">
        <v>160</v>
      </c>
      <c r="D112" s="73" t="s">
        <v>162</v>
      </c>
      <c r="E112" s="93"/>
      <c r="F112" s="2"/>
    </row>
    <row r="113" spans="1:6" ht="19.5" customHeight="1" x14ac:dyDescent="0.3">
      <c r="A113" s="85"/>
      <c r="B113" s="85" t="s">
        <v>198</v>
      </c>
      <c r="C113" s="2" t="s">
        <v>205</v>
      </c>
      <c r="D113" s="118">
        <f>+D88</f>
        <v>164219.54</v>
      </c>
      <c r="E113" s="93"/>
      <c r="F113" s="2"/>
    </row>
    <row r="114" spans="1:6" ht="19.5" customHeight="1" x14ac:dyDescent="0.3">
      <c r="A114" s="85"/>
      <c r="B114" s="85" t="s">
        <v>199</v>
      </c>
      <c r="C114" s="2" t="s">
        <v>207</v>
      </c>
      <c r="D114" s="87">
        <f>+D104</f>
        <v>164947.81999999998</v>
      </c>
      <c r="E114" s="93"/>
      <c r="F114" s="2"/>
    </row>
    <row r="115" spans="1:6" ht="19.5" customHeight="1" x14ac:dyDescent="0.3">
      <c r="A115" s="85"/>
      <c r="B115" s="85"/>
      <c r="C115" s="2"/>
      <c r="D115" s="2"/>
      <c r="E115" s="93"/>
      <c r="F115" s="2"/>
    </row>
    <row r="116" spans="1:6" ht="19.5" customHeight="1" x14ac:dyDescent="0.3">
      <c r="A116" s="85"/>
      <c r="B116" s="72" t="s">
        <v>171</v>
      </c>
      <c r="C116" s="91" t="s">
        <v>216</v>
      </c>
      <c r="D116" s="90">
        <f>+D113/D114</f>
        <v>0.99558478554005769</v>
      </c>
      <c r="E116" s="93"/>
      <c r="F116" s="2"/>
    </row>
    <row r="117" spans="1:6" ht="19.5" customHeight="1" x14ac:dyDescent="0.3">
      <c r="A117" s="100"/>
      <c r="B117" s="4"/>
      <c r="C117" s="5"/>
      <c r="D117" s="105"/>
      <c r="E117" s="94"/>
      <c r="F117" s="2"/>
    </row>
    <row r="118" spans="1:6" ht="19.5" customHeight="1" x14ac:dyDescent="0.3">
      <c r="A118" s="2"/>
      <c r="B118" s="2"/>
      <c r="C118" s="6"/>
      <c r="D118" s="88"/>
      <c r="E118" s="2"/>
      <c r="F118" s="2"/>
    </row>
    <row r="119" spans="1:6" ht="19.5" customHeight="1" x14ac:dyDescent="0.3">
      <c r="A119" s="2"/>
      <c r="B119" s="2"/>
      <c r="C119" s="6"/>
      <c r="D119" s="88"/>
      <c r="E119" s="2"/>
      <c r="F119" s="2"/>
    </row>
    <row r="153" spans="3:3" x14ac:dyDescent="0.3">
      <c r="C153" t="s">
        <v>217</v>
      </c>
    </row>
  </sheetData>
  <mergeCells count="1">
    <mergeCell ref="A89:D89"/>
  </mergeCells>
  <pageMargins left="0.23622047244094491" right="0.23622047244094491" top="0.74803149606299213" bottom="0.74803149606299213" header="0.31496062992125984" footer="0.31496062992125984"/>
  <pageSetup paperSize="9" scale="55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INSOLV</vt:lpstr>
      <vt:lpstr>INDLIQUIDEZ</vt:lpstr>
      <vt:lpstr>INDICESENERO</vt:lpstr>
      <vt:lpstr>INDICESFEBRERO</vt:lpstr>
      <vt:lpstr>INDICESMARZ25</vt:lpstr>
      <vt:lpstr>INDICESAB2025</vt:lpstr>
      <vt:lpstr>INDICESmayo25</vt:lpstr>
      <vt:lpstr>INDICEJUN25 </vt:lpstr>
      <vt:lpstr>INDICEJULIOl25  </vt:lpstr>
      <vt:lpstr>INDICEAGOS25</vt:lpstr>
      <vt:lpstr>INDICESEPT25</vt:lpstr>
      <vt:lpstr>INDICEOC25</vt:lpstr>
      <vt:lpstr>INDICENOV25</vt:lpstr>
      <vt:lpstr>INDICEDICIEM25</vt:lpstr>
      <vt:lpstr>INDICEAGOS25!Área_de_impresión</vt:lpstr>
      <vt:lpstr>INDICEDICIEM25!Área_de_impresión</vt:lpstr>
      <vt:lpstr>'INDICEJULIOl25  '!Área_de_impresión</vt:lpstr>
      <vt:lpstr>'INDICEJUN25 '!Área_de_impresión</vt:lpstr>
      <vt:lpstr>INDICENOV25!Área_de_impresión</vt:lpstr>
      <vt:lpstr>INDICEOC25!Área_de_impresión</vt:lpstr>
      <vt:lpstr>INDICESAB2025!Área_de_impresión</vt:lpstr>
      <vt:lpstr>INDICESENERO!Área_de_impresión</vt:lpstr>
      <vt:lpstr>INDICESEPT25!Área_de_impresión</vt:lpstr>
      <vt:lpstr>INDICESFEBRERO!Área_de_impresión</vt:lpstr>
      <vt:lpstr>INDICESMARZ25!Área_de_impresión</vt:lpstr>
      <vt:lpstr>INDICESmayo25!Área_de_impresión</vt:lpstr>
      <vt:lpstr>INDLIQUIDEZ!Área_de_impresión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ContabilidadCoac</dc:creator>
  <cp:lastModifiedBy>USUARIO</cp:lastModifiedBy>
  <cp:lastPrinted>2026-03-02T21:57:02Z</cp:lastPrinted>
  <dcterms:created xsi:type="dcterms:W3CDTF">2016-02-28T04:38:29Z</dcterms:created>
  <dcterms:modified xsi:type="dcterms:W3CDTF">2026-03-14T03:51:11Z</dcterms:modified>
</cp:coreProperties>
</file>